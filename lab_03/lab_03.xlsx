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58440_studenti_polito_it/Documents/Desktop/Architetture dei Sistemi di Elaborazione/Lab/lab_03/"/>
    </mc:Choice>
  </mc:AlternateContent>
  <xr:revisionPtr revIDLastSave="1857" documentId="8_{C910F02A-FCD7-4C16-B68D-571140EAFA56}" xr6:coauthVersionLast="47" xr6:coauthVersionMax="47" xr10:uidLastSave="{24EBC3D9-884D-465D-A61D-40870F4AF0B1}"/>
  <bookViews>
    <workbookView xWindow="-98" yWindow="-98" windowWidth="21795" windowHeight="12975" xr2:uid="{8720DB75-096C-40FE-AAA0-34A6D4B4D69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1" i="1" l="1"/>
  <c r="B219" i="1"/>
  <c r="B218" i="1"/>
  <c r="B109" i="1"/>
  <c r="B39" i="1"/>
  <c r="B63" i="1"/>
  <c r="B130" i="1"/>
  <c r="B129" i="1"/>
  <c r="B128" i="1"/>
  <c r="B62" i="1"/>
  <c r="B61" i="1"/>
  <c r="B132" i="1" l="1"/>
  <c r="B65" i="1"/>
</calcChain>
</file>

<file path=xl/sharedStrings.xml><?xml version="1.0" encoding="utf-8"?>
<sst xmlns="http://schemas.openxmlformats.org/spreadsheetml/2006/main" count="1486" uniqueCount="115">
  <si>
    <t>la x2, V2</t>
  </si>
  <si>
    <t>la x3, V3</t>
  </si>
  <si>
    <t>la x4, V4</t>
  </si>
  <si>
    <t>la x5, V5</t>
  </si>
  <si>
    <t>la x6, V6</t>
  </si>
  <si>
    <t xml:space="preserve">la x1, V1	</t>
  </si>
  <si>
    <t>addi x1, x1, 124</t>
  </si>
  <si>
    <t>addi x2, x2, 124</t>
  </si>
  <si>
    <t>addi x3, x3, 124</t>
  </si>
  <si>
    <t>addi x4, x4, 124</t>
  </si>
  <si>
    <t>addi x5, x5, 124</t>
  </si>
  <si>
    <t>addi x6, x6, 124</t>
  </si>
  <si>
    <t>Main:</t>
  </si>
  <si>
    <t>li x7, 31</t>
  </si>
  <si>
    <t>li x8, 1</t>
  </si>
  <si>
    <t>li x10, 3</t>
  </si>
  <si>
    <t>fadd.s f10, f0, f0</t>
  </si>
  <si>
    <t>loop:</t>
  </si>
  <si>
    <t>flw f1, 0(x1)</t>
  </si>
  <si>
    <t>flw f2, 0(x2)</t>
  </si>
  <si>
    <t>flw f3, 0(x3)</t>
  </si>
  <si>
    <t>rem x11, x7, x10</t>
  </si>
  <si>
    <t>bnez x11, not_mul</t>
  </si>
  <si>
    <t>sll x12, x8, x7</t>
  </si>
  <si>
    <t>fcvt.s.w f8, x12</t>
  </si>
  <si>
    <t xml:space="preserve">fdiv.s f9, f1, f8 </t>
  </si>
  <si>
    <t>fcvt.w.s x8, f9</t>
  </si>
  <si>
    <t>j continue</t>
  </si>
  <si>
    <t>not_mul:</t>
  </si>
  <si>
    <t>mul x12, x8, x7</t>
  </si>
  <si>
    <t>fmul.s f9, f1, f8</t>
  </si>
  <si>
    <t>continue:</t>
  </si>
  <si>
    <t>fmul.s f4, f9, f1</t>
  </si>
  <si>
    <t>fsub.s f4, f4, f2</t>
  </si>
  <si>
    <t>fsw f4, 0(x4)</t>
  </si>
  <si>
    <t>fdiv.s f5, f4, f3</t>
  </si>
  <si>
    <t>fsub.s f5, f5, f10</t>
  </si>
  <si>
    <t>fsw f5, 0(x5)</t>
  </si>
  <si>
    <t>fsub.s f6, f4, f1</t>
  </si>
  <si>
    <t>fmul.s f6, f6, f5</t>
  </si>
  <si>
    <t>fsw f6, 0(x6)</t>
  </si>
  <si>
    <t>addi x1, x1, -4</t>
  </si>
  <si>
    <t>addi x2, x2, -4</t>
  </si>
  <si>
    <t>addi x3, x3, -4</t>
  </si>
  <si>
    <t>addi x4, x4, -4</t>
  </si>
  <si>
    <t>addi x5, x5, -4</t>
  </si>
  <si>
    <t>addi x6, x6, -4</t>
  </si>
  <si>
    <t>addi x7, x7, -1</t>
  </si>
  <si>
    <t>bgez x7, loop</t>
  </si>
  <si>
    <t>F</t>
  </si>
  <si>
    <t>D</t>
  </si>
  <si>
    <t>E</t>
  </si>
  <si>
    <t>M</t>
  </si>
  <si>
    <t>W</t>
  </si>
  <si>
    <t>X</t>
  </si>
  <si>
    <t>A</t>
  </si>
  <si>
    <t>s</t>
  </si>
  <si>
    <t>/</t>
  </si>
  <si>
    <t>Branch untaken</t>
  </si>
  <si>
    <t>Pre-loop</t>
  </si>
  <si>
    <t>Branch taken</t>
  </si>
  <si>
    <t>Totale</t>
  </si>
  <si>
    <t>PROGRAM_1.s</t>
  </si>
  <si>
    <t>PROGRAM_1_A.s</t>
  </si>
  <si>
    <t>mul x13, x8, x7</t>
  </si>
  <si>
    <t>fdiv.s f9, f1, f8</t>
  </si>
  <si>
    <t>fsw f4, 4(x4)</t>
  </si>
  <si>
    <t>Branck taken</t>
  </si>
  <si>
    <t>fdiv.s f5, f14, f3</t>
  </si>
  <si>
    <t>fmul.s f14, f9, f1</t>
  </si>
  <si>
    <t>fsub.s f4, f14, f2</t>
  </si>
  <si>
    <t xml:space="preserve">Total </t>
  </si>
  <si>
    <t>nop</t>
  </si>
  <si>
    <t>-</t>
  </si>
  <si>
    <t>PROGRAM_1_B.s</t>
  </si>
  <si>
    <t>flw f11, -4(x1)</t>
  </si>
  <si>
    <t>flw f12, -4(x2)</t>
  </si>
  <si>
    <t>flw f13, -4(x3)</t>
  </si>
  <si>
    <t>addi x9, x7, -1</t>
  </si>
  <si>
    <t>rem x14, x9, x10</t>
  </si>
  <si>
    <t>bnez x11, not_mul_1</t>
  </si>
  <si>
    <t>j skip_mul_1</t>
  </si>
  <si>
    <t>not_mul_1:</t>
  </si>
  <si>
    <t>fcvt.s.w f8, x13</t>
  </si>
  <si>
    <t>skip_mul_1:</t>
  </si>
  <si>
    <t>sll x15, x8, x9</t>
  </si>
  <si>
    <t>mul x16, x8, x9</t>
  </si>
  <si>
    <t>bnez x14, not_mul_2</t>
  </si>
  <si>
    <t>fcvt.s.w f18, x15</t>
  </si>
  <si>
    <t>j skip_mul_2</t>
  </si>
  <si>
    <t>not_mul_2:</t>
  </si>
  <si>
    <t>skip_mul_2:</t>
  </si>
  <si>
    <t>fcvt.s.w f18, x16</t>
  </si>
  <si>
    <t>fdiv.s f19, f11, f18</t>
  </si>
  <si>
    <t>fcvt.w.s x17, f19</t>
  </si>
  <si>
    <t>fmul.s f24, f19, f11</t>
  </si>
  <si>
    <t>fsub.s f14, f24, f12</t>
  </si>
  <si>
    <t>fdiv.s f15, f14, f13</t>
  </si>
  <si>
    <t>fsub.s f15, f15, f10</t>
  </si>
  <si>
    <t>fsub.s f16, f14, f11</t>
  </si>
  <si>
    <t>fmul.s f16, f16, f15</t>
  </si>
  <si>
    <t>fsw f14, -4(x4)</t>
  </si>
  <si>
    <t>fsw f15, -4(x5)</t>
  </si>
  <si>
    <t>fsw f16, -4(x6)</t>
  </si>
  <si>
    <t>addi x1, x1, -8</t>
  </si>
  <si>
    <t>addi x2, x2, -8</t>
  </si>
  <si>
    <t>addi x3, x3, -8</t>
  </si>
  <si>
    <t>addi x4, x4, -8</t>
  </si>
  <si>
    <t>addi x5, x5, -8</t>
  </si>
  <si>
    <t>addi x6, x6, -8</t>
  </si>
  <si>
    <t>addi x7, x7, -2</t>
  </si>
  <si>
    <t>li x20, 1</t>
  </si>
  <si>
    <t>bge x7, x20, loop</t>
  </si>
  <si>
    <t>loop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</si>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</sst>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4" borderId="0" xfId="0" applyFill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F25B-4FD9-4BC3-9861-5E02FB617A5D}">
  <dimension ref="A1:DJ221"/>
  <sheetViews>
    <sheetView tabSelected="1" topLeftCell="A207" workbookViewId="0">
      <pane xSplit="2" topLeftCell="AA1" activePane="topRight" state="frozen"/>
      <selection pane="topRight" activeCell="B222" sqref="B222"/>
    </sheetView>
  </sheetViews>
  <sheetFormatPr defaultColWidth="3.796875" defaultRowHeight="14.25" x14ac:dyDescent="0.45"/>
  <cols>
    <col min="1" max="1" width="16.73046875" style="3" bestFit="1" customWidth="1"/>
    <col min="2" max="2" width="5.46484375" style="1" customWidth="1"/>
    <col min="3" max="16384" width="3.796875" style="1"/>
  </cols>
  <sheetData>
    <row r="1" spans="1:19" x14ac:dyDescent="0.45">
      <c r="A1" s="5" t="s">
        <v>62</v>
      </c>
      <c r="B1" s="8"/>
    </row>
    <row r="2" spans="1:19" x14ac:dyDescent="0.45">
      <c r="A2" s="2" t="s">
        <v>5</v>
      </c>
      <c r="B2" s="9">
        <v>5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spans="1:19" x14ac:dyDescent="0.45">
      <c r="A3" s="3" t="s">
        <v>0</v>
      </c>
      <c r="B3" s="10">
        <v>2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</row>
    <row r="4" spans="1:19" x14ac:dyDescent="0.45">
      <c r="A4" s="3" t="s">
        <v>1</v>
      </c>
      <c r="B4" s="10">
        <v>2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19" x14ac:dyDescent="0.45">
      <c r="A5" s="3" t="s">
        <v>2</v>
      </c>
      <c r="B5" s="10">
        <v>2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</row>
    <row r="6" spans="1:19" x14ac:dyDescent="0.45">
      <c r="A6" s="3" t="s">
        <v>3</v>
      </c>
      <c r="B6" s="10">
        <v>2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</row>
    <row r="7" spans="1:19" x14ac:dyDescent="0.45">
      <c r="A7" s="3" t="s">
        <v>4</v>
      </c>
      <c r="B7" s="10">
        <v>2</v>
      </c>
      <c r="H7" s="1" t="s">
        <v>49</v>
      </c>
      <c r="I7" s="1" t="s">
        <v>50</v>
      </c>
      <c r="J7" s="1" t="s">
        <v>51</v>
      </c>
      <c r="K7" s="1" t="s">
        <v>52</v>
      </c>
      <c r="L7" s="1" t="s">
        <v>53</v>
      </c>
    </row>
    <row r="8" spans="1:19" x14ac:dyDescent="0.45">
      <c r="B8" s="10"/>
    </row>
    <row r="9" spans="1:19" x14ac:dyDescent="0.45">
      <c r="A9" s="3" t="s">
        <v>6</v>
      </c>
      <c r="B9" s="10">
        <v>1</v>
      </c>
      <c r="I9" s="1" t="s">
        <v>49</v>
      </c>
      <c r="J9" s="1" t="s">
        <v>50</v>
      </c>
      <c r="K9" s="1" t="s">
        <v>51</v>
      </c>
      <c r="L9" s="1" t="s">
        <v>52</v>
      </c>
      <c r="M9" s="1" t="s">
        <v>53</v>
      </c>
    </row>
    <row r="10" spans="1:19" x14ac:dyDescent="0.45">
      <c r="A10" s="3" t="s">
        <v>7</v>
      </c>
      <c r="B10" s="10">
        <v>1</v>
      </c>
      <c r="J10" s="1" t="s">
        <v>49</v>
      </c>
      <c r="K10" s="1" t="s">
        <v>50</v>
      </c>
      <c r="L10" s="1" t="s">
        <v>51</v>
      </c>
      <c r="M10" s="1" t="s">
        <v>52</v>
      </c>
      <c r="N10" s="1" t="s">
        <v>53</v>
      </c>
    </row>
    <row r="11" spans="1:19" x14ac:dyDescent="0.45">
      <c r="A11" s="3" t="s">
        <v>8</v>
      </c>
      <c r="B11" s="10">
        <v>1</v>
      </c>
      <c r="K11" s="1" t="s">
        <v>49</v>
      </c>
      <c r="L11" s="1" t="s">
        <v>50</v>
      </c>
      <c r="M11" s="1" t="s">
        <v>51</v>
      </c>
      <c r="N11" s="1" t="s">
        <v>52</v>
      </c>
      <c r="O11" s="1" t="s">
        <v>53</v>
      </c>
    </row>
    <row r="12" spans="1:19" x14ac:dyDescent="0.45">
      <c r="A12" s="3" t="s">
        <v>9</v>
      </c>
      <c r="B12" s="10">
        <v>1</v>
      </c>
      <c r="L12" s="1" t="s">
        <v>49</v>
      </c>
      <c r="M12" s="1" t="s">
        <v>50</v>
      </c>
      <c r="N12" s="1" t="s">
        <v>51</v>
      </c>
      <c r="O12" s="1" t="s">
        <v>52</v>
      </c>
      <c r="P12" s="1" t="s">
        <v>53</v>
      </c>
    </row>
    <row r="13" spans="1:19" x14ac:dyDescent="0.45">
      <c r="A13" s="3" t="s">
        <v>10</v>
      </c>
      <c r="B13" s="10">
        <v>1</v>
      </c>
      <c r="M13" s="1" t="s">
        <v>49</v>
      </c>
      <c r="N13" s="1" t="s">
        <v>50</v>
      </c>
      <c r="O13" s="1" t="s">
        <v>51</v>
      </c>
      <c r="P13" s="1" t="s">
        <v>52</v>
      </c>
      <c r="Q13" s="1" t="s">
        <v>53</v>
      </c>
    </row>
    <row r="14" spans="1:19" x14ac:dyDescent="0.45">
      <c r="A14" s="3" t="s">
        <v>11</v>
      </c>
      <c r="B14" s="10">
        <v>1</v>
      </c>
      <c r="N14" s="1" t="s">
        <v>49</v>
      </c>
      <c r="O14" s="1" t="s">
        <v>50</v>
      </c>
      <c r="P14" s="1" t="s">
        <v>51</v>
      </c>
      <c r="Q14" s="1" t="s">
        <v>52</v>
      </c>
      <c r="R14" s="1" t="s">
        <v>53</v>
      </c>
    </row>
    <row r="15" spans="1:19" x14ac:dyDescent="0.45">
      <c r="A15" s="3" t="s">
        <v>12</v>
      </c>
      <c r="B15" s="10"/>
    </row>
    <row r="16" spans="1:19" x14ac:dyDescent="0.45">
      <c r="A16" s="3" t="s">
        <v>13</v>
      </c>
      <c r="B16" s="10">
        <v>1</v>
      </c>
      <c r="O16" s="1" t="s">
        <v>49</v>
      </c>
      <c r="P16" s="1" t="s">
        <v>50</v>
      </c>
      <c r="Q16" s="1" t="s">
        <v>51</v>
      </c>
      <c r="R16" s="1" t="s">
        <v>52</v>
      </c>
      <c r="S16" s="1" t="s">
        <v>53</v>
      </c>
    </row>
    <row r="17" spans="1:46" x14ac:dyDescent="0.45">
      <c r="A17" s="3" t="s">
        <v>14</v>
      </c>
      <c r="B17" s="10">
        <v>1</v>
      </c>
      <c r="P17" s="1" t="s">
        <v>49</v>
      </c>
      <c r="Q17" s="1" t="s">
        <v>50</v>
      </c>
      <c r="R17" s="1" t="s">
        <v>51</v>
      </c>
      <c r="S17" s="1" t="s">
        <v>52</v>
      </c>
      <c r="T17" s="1" t="s">
        <v>53</v>
      </c>
    </row>
    <row r="18" spans="1:46" x14ac:dyDescent="0.45">
      <c r="A18" s="3" t="s">
        <v>15</v>
      </c>
      <c r="B18" s="10">
        <v>1</v>
      </c>
      <c r="Q18" s="1" t="s">
        <v>49</v>
      </c>
      <c r="R18" s="1" t="s">
        <v>50</v>
      </c>
      <c r="S18" s="1" t="s">
        <v>51</v>
      </c>
      <c r="T18" s="1" t="s">
        <v>52</v>
      </c>
      <c r="U18" s="1" t="s">
        <v>53</v>
      </c>
    </row>
    <row r="19" spans="1:46" x14ac:dyDescent="0.45">
      <c r="A19" s="3" t="s">
        <v>16</v>
      </c>
      <c r="B19" s="10">
        <v>4</v>
      </c>
      <c r="R19" s="1" t="s">
        <v>49</v>
      </c>
      <c r="S19" s="1" t="s">
        <v>50</v>
      </c>
      <c r="T19" s="1" t="s">
        <v>55</v>
      </c>
      <c r="U19" s="1" t="s">
        <v>55</v>
      </c>
      <c r="V19" s="1" t="s">
        <v>55</v>
      </c>
      <c r="W19" s="1" t="s">
        <v>55</v>
      </c>
      <c r="X19" s="1" t="s">
        <v>52</v>
      </c>
      <c r="Y19" s="1" t="s">
        <v>53</v>
      </c>
    </row>
    <row r="20" spans="1:46" x14ac:dyDescent="0.45">
      <c r="A20" s="3" t="s">
        <v>17</v>
      </c>
    </row>
    <row r="21" spans="1:46" x14ac:dyDescent="0.45">
      <c r="A21" s="3" t="s">
        <v>18</v>
      </c>
      <c r="B21" s="11">
        <v>0</v>
      </c>
      <c r="S21" s="1" t="s">
        <v>49</v>
      </c>
      <c r="T21" s="1" t="s">
        <v>50</v>
      </c>
      <c r="U21" s="1" t="s">
        <v>51</v>
      </c>
      <c r="V21" s="1" t="s">
        <v>52</v>
      </c>
      <c r="W21" s="1" t="s">
        <v>53</v>
      </c>
    </row>
    <row r="22" spans="1:46" x14ac:dyDescent="0.45">
      <c r="A22" s="3" t="s">
        <v>19</v>
      </c>
      <c r="B22" s="11">
        <v>0</v>
      </c>
      <c r="T22" s="1" t="s">
        <v>49</v>
      </c>
      <c r="U22" s="1" t="s">
        <v>50</v>
      </c>
      <c r="V22" s="1" t="s">
        <v>51</v>
      </c>
      <c r="W22" s="1" t="s">
        <v>52</v>
      </c>
      <c r="X22" s="1" t="s">
        <v>53</v>
      </c>
    </row>
    <row r="23" spans="1:46" x14ac:dyDescent="0.45">
      <c r="A23" s="3" t="s">
        <v>20</v>
      </c>
      <c r="B23" s="11">
        <v>1</v>
      </c>
      <c r="U23" s="1" t="s">
        <v>49</v>
      </c>
      <c r="V23" s="1" t="s">
        <v>50</v>
      </c>
      <c r="W23" s="1" t="s">
        <v>51</v>
      </c>
      <c r="X23" s="1" t="s">
        <v>56</v>
      </c>
      <c r="Y23" s="1" t="s">
        <v>52</v>
      </c>
      <c r="Z23" s="1" t="s">
        <v>53</v>
      </c>
    </row>
    <row r="24" spans="1:46" x14ac:dyDescent="0.45">
      <c r="B24" s="11"/>
    </row>
    <row r="25" spans="1:46" x14ac:dyDescent="0.45">
      <c r="A25" s="3" t="s">
        <v>21</v>
      </c>
      <c r="B25" s="11">
        <v>2</v>
      </c>
      <c r="V25" s="1" t="s">
        <v>49</v>
      </c>
      <c r="W25" s="1" t="s">
        <v>56</v>
      </c>
      <c r="X25" s="1" t="s">
        <v>56</v>
      </c>
      <c r="Y25" s="1" t="s">
        <v>50</v>
      </c>
      <c r="Z25" s="1" t="s">
        <v>51</v>
      </c>
      <c r="AA25" s="1" t="s">
        <v>52</v>
      </c>
      <c r="AB25" s="1" t="s">
        <v>53</v>
      </c>
    </row>
    <row r="26" spans="1:46" x14ac:dyDescent="0.45">
      <c r="A26" s="3" t="s">
        <v>72</v>
      </c>
      <c r="B26" s="11">
        <v>1</v>
      </c>
      <c r="Y26" s="1" t="s">
        <v>49</v>
      </c>
      <c r="Z26" s="1" t="s">
        <v>73</v>
      </c>
      <c r="AA26" s="1" t="s">
        <v>73</v>
      </c>
      <c r="AB26" s="1" t="s">
        <v>73</v>
      </c>
      <c r="AC26" s="1" t="s">
        <v>73</v>
      </c>
    </row>
    <row r="27" spans="1:46" x14ac:dyDescent="0.45">
      <c r="A27" s="3" t="s">
        <v>72</v>
      </c>
      <c r="B27" s="11">
        <v>1</v>
      </c>
      <c r="Z27" s="1" t="s">
        <v>49</v>
      </c>
      <c r="AA27" s="1" t="s">
        <v>73</v>
      </c>
      <c r="AB27" s="1" t="s">
        <v>73</v>
      </c>
      <c r="AC27" s="1" t="s">
        <v>73</v>
      </c>
      <c r="AD27" s="1" t="s">
        <v>73</v>
      </c>
    </row>
    <row r="28" spans="1:46" x14ac:dyDescent="0.45">
      <c r="A28" s="3" t="s">
        <v>22</v>
      </c>
      <c r="B28" s="11">
        <v>2</v>
      </c>
      <c r="AA28" s="1" t="s">
        <v>49</v>
      </c>
      <c r="AB28" s="1" t="s">
        <v>50</v>
      </c>
      <c r="AC28" s="1" t="s">
        <v>56</v>
      </c>
      <c r="AD28" s="1" t="s">
        <v>51</v>
      </c>
      <c r="AE28" s="1" t="s">
        <v>52</v>
      </c>
      <c r="AF28" s="1" t="s">
        <v>53</v>
      </c>
    </row>
    <row r="30" spans="1:46" x14ac:dyDescent="0.45">
      <c r="A30" s="3" t="s">
        <v>23</v>
      </c>
      <c r="B30" s="1">
        <v>1</v>
      </c>
      <c r="AB30" s="1" t="s">
        <v>49</v>
      </c>
      <c r="AC30" s="1" t="s">
        <v>56</v>
      </c>
      <c r="AD30" s="1" t="s">
        <v>50</v>
      </c>
      <c r="AE30" s="1" t="s">
        <v>51</v>
      </c>
      <c r="AF30" s="1" t="s">
        <v>52</v>
      </c>
      <c r="AG30" s="1" t="s">
        <v>53</v>
      </c>
    </row>
    <row r="31" spans="1:46" x14ac:dyDescent="0.45">
      <c r="A31" s="3" t="s">
        <v>24</v>
      </c>
      <c r="B31" s="1">
        <v>4</v>
      </c>
      <c r="AD31" s="1" t="s">
        <v>49</v>
      </c>
      <c r="AE31" s="1" t="s">
        <v>50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52</v>
      </c>
      <c r="AK31" s="1" t="s">
        <v>53</v>
      </c>
    </row>
    <row r="32" spans="1:46" x14ac:dyDescent="0.45">
      <c r="A32" s="3" t="s">
        <v>25</v>
      </c>
      <c r="B32" s="1">
        <v>9</v>
      </c>
      <c r="AE32" s="1" t="s">
        <v>49</v>
      </c>
      <c r="AF32" s="1" t="s">
        <v>50</v>
      </c>
      <c r="AG32" s="1" t="s">
        <v>57</v>
      </c>
      <c r="AH32" s="1" t="s">
        <v>57</v>
      </c>
      <c r="AI32" s="1" t="s">
        <v>57</v>
      </c>
      <c r="AJ32" s="1" t="s">
        <v>57</v>
      </c>
      <c r="AK32" s="1" t="s">
        <v>57</v>
      </c>
      <c r="AL32" s="1" t="s">
        <v>57</v>
      </c>
      <c r="AM32" s="1" t="s">
        <v>57</v>
      </c>
      <c r="AN32" s="1" t="s">
        <v>57</v>
      </c>
      <c r="AO32" s="1" t="s">
        <v>57</v>
      </c>
      <c r="AP32" s="1" t="s">
        <v>57</v>
      </c>
      <c r="AQ32" s="1" t="s">
        <v>57</v>
      </c>
      <c r="AR32" s="1" t="s">
        <v>57</v>
      </c>
      <c r="AS32" s="1" t="s">
        <v>52</v>
      </c>
      <c r="AT32" s="1" t="s">
        <v>53</v>
      </c>
    </row>
    <row r="33" spans="1:81" x14ac:dyDescent="0.45">
      <c r="A33" s="3" t="s">
        <v>26</v>
      </c>
      <c r="B33" s="1">
        <v>4</v>
      </c>
      <c r="AF33" s="1" t="s">
        <v>49</v>
      </c>
      <c r="AG33" s="1" t="s">
        <v>50</v>
      </c>
      <c r="AH33" s="1" t="s">
        <v>56</v>
      </c>
      <c r="AI33" s="1" t="s">
        <v>56</v>
      </c>
      <c r="AJ33" s="1" t="s">
        <v>56</v>
      </c>
      <c r="AK33" s="1" t="s">
        <v>56</v>
      </c>
      <c r="AL33" s="1" t="s">
        <v>56</v>
      </c>
      <c r="AM33" s="1" t="s">
        <v>56</v>
      </c>
      <c r="AN33" s="1" t="s">
        <v>56</v>
      </c>
      <c r="AO33" s="1" t="s">
        <v>56</v>
      </c>
      <c r="AP33" s="1" t="s">
        <v>56</v>
      </c>
      <c r="AQ33" s="1" t="s">
        <v>56</v>
      </c>
      <c r="AR33" s="1" t="s">
        <v>56</v>
      </c>
      <c r="AS33" s="1" t="s">
        <v>55</v>
      </c>
      <c r="AT33" s="1" t="s">
        <v>55</v>
      </c>
      <c r="AU33" s="1" t="s">
        <v>55</v>
      </c>
      <c r="AV33" s="1" t="s">
        <v>55</v>
      </c>
      <c r="AW33" s="1" t="s">
        <v>52</v>
      </c>
      <c r="AX33" s="1" t="s">
        <v>53</v>
      </c>
    </row>
    <row r="34" spans="1:81" x14ac:dyDescent="0.45">
      <c r="A34" s="3" t="s">
        <v>27</v>
      </c>
      <c r="B34" s="1">
        <v>0</v>
      </c>
      <c r="AG34" s="1" t="s">
        <v>49</v>
      </c>
      <c r="AH34" s="1" t="s">
        <v>56</v>
      </c>
      <c r="AI34" s="1" t="s">
        <v>56</v>
      </c>
      <c r="AJ34" s="1" t="s">
        <v>56</v>
      </c>
      <c r="AK34" s="1" t="s">
        <v>56</v>
      </c>
      <c r="AL34" s="1" t="s">
        <v>56</v>
      </c>
      <c r="AM34" s="1" t="s">
        <v>56</v>
      </c>
      <c r="AN34" s="1" t="s">
        <v>56</v>
      </c>
      <c r="AO34" s="1" t="s">
        <v>56</v>
      </c>
      <c r="AP34" s="1" t="s">
        <v>56</v>
      </c>
      <c r="AQ34" s="1" t="s">
        <v>56</v>
      </c>
      <c r="AR34" s="1" t="s">
        <v>56</v>
      </c>
      <c r="AS34" s="1" t="s">
        <v>50</v>
      </c>
      <c r="AT34" s="1" t="s">
        <v>51</v>
      </c>
      <c r="AU34" s="1" t="s">
        <v>52</v>
      </c>
      <c r="AV34" s="1" t="s">
        <v>53</v>
      </c>
    </row>
    <row r="35" spans="1:81" x14ac:dyDescent="0.45">
      <c r="A35" s="3" t="s">
        <v>28</v>
      </c>
    </row>
    <row r="36" spans="1:81" x14ac:dyDescent="0.45">
      <c r="A36" s="3" t="s">
        <v>29</v>
      </c>
      <c r="B36" s="1">
        <v>7</v>
      </c>
      <c r="AD36" s="4" t="s">
        <v>49</v>
      </c>
      <c r="AE36" s="1" t="s">
        <v>50</v>
      </c>
      <c r="AF36" s="1" t="s">
        <v>54</v>
      </c>
      <c r="AG36" s="1" t="s">
        <v>54</v>
      </c>
      <c r="AH36" s="1" t="s">
        <v>54</v>
      </c>
      <c r="AI36" s="1" t="s">
        <v>54</v>
      </c>
      <c r="AJ36" s="1" t="s">
        <v>54</v>
      </c>
      <c r="AK36" s="1" t="s">
        <v>54</v>
      </c>
      <c r="AL36" s="1" t="s">
        <v>52</v>
      </c>
      <c r="AM36" s="1" t="s">
        <v>53</v>
      </c>
      <c r="AS36" s="1" t="s">
        <v>49</v>
      </c>
    </row>
    <row r="37" spans="1:81" x14ac:dyDescent="0.45">
      <c r="A37" s="3" t="s">
        <v>24</v>
      </c>
      <c r="B37" s="1">
        <v>4</v>
      </c>
      <c r="AE37" s="1" t="s">
        <v>49</v>
      </c>
      <c r="AF37" s="1" t="s">
        <v>50</v>
      </c>
      <c r="AG37" s="1" t="s">
        <v>56</v>
      </c>
      <c r="AH37" s="1" t="s">
        <v>56</v>
      </c>
      <c r="AI37" s="1" t="s">
        <v>56</v>
      </c>
      <c r="AJ37" s="1" t="s">
        <v>56</v>
      </c>
      <c r="AK37" s="1" t="s">
        <v>56</v>
      </c>
      <c r="AL37" s="1" t="s">
        <v>55</v>
      </c>
      <c r="AM37" s="1" t="s">
        <v>55</v>
      </c>
      <c r="AN37" s="1" t="s">
        <v>55</v>
      </c>
      <c r="AO37" s="1" t="s">
        <v>55</v>
      </c>
      <c r="AP37" s="1" t="s">
        <v>52</v>
      </c>
      <c r="AQ37" s="1" t="s">
        <v>53</v>
      </c>
    </row>
    <row r="38" spans="1:81" x14ac:dyDescent="0.45">
      <c r="A38" s="3" t="s">
        <v>30</v>
      </c>
      <c r="B38" s="1">
        <v>6</v>
      </c>
      <c r="AF38" s="1" t="s">
        <v>49</v>
      </c>
      <c r="AG38" s="1" t="s">
        <v>56</v>
      </c>
      <c r="AH38" s="1" t="s">
        <v>56</v>
      </c>
      <c r="AI38" s="1" t="s">
        <v>56</v>
      </c>
      <c r="AJ38" s="1" t="s">
        <v>56</v>
      </c>
      <c r="AK38" s="1" t="s">
        <v>56</v>
      </c>
      <c r="AL38" s="1" t="s">
        <v>50</v>
      </c>
      <c r="AM38" s="1" t="s">
        <v>56</v>
      </c>
      <c r="AN38" s="1" t="s">
        <v>56</v>
      </c>
      <c r="AO38" s="1" t="s">
        <v>56</v>
      </c>
      <c r="AP38" s="1" t="s">
        <v>54</v>
      </c>
      <c r="AQ38" s="1" t="s">
        <v>54</v>
      </c>
      <c r="AR38" s="1" t="s">
        <v>54</v>
      </c>
      <c r="AS38" s="1" t="s">
        <v>54</v>
      </c>
      <c r="AT38" s="1" t="s">
        <v>54</v>
      </c>
      <c r="AU38" s="1" t="s">
        <v>54</v>
      </c>
      <c r="AV38" s="1" t="s">
        <v>52</v>
      </c>
      <c r="AW38" s="1" t="s">
        <v>53</v>
      </c>
    </row>
    <row r="39" spans="1:81" x14ac:dyDescent="0.45">
      <c r="A39" s="3" t="s">
        <v>26</v>
      </c>
      <c r="B39" s="1">
        <f>4+1</f>
        <v>5</v>
      </c>
      <c r="AL39" s="1" t="s">
        <v>49</v>
      </c>
      <c r="AM39" s="1" t="s">
        <v>56</v>
      </c>
      <c r="AN39" s="1" t="s">
        <v>56</v>
      </c>
      <c r="AO39" s="1" t="s">
        <v>56</v>
      </c>
      <c r="AP39" s="1" t="s">
        <v>50</v>
      </c>
      <c r="AQ39" s="1" t="s">
        <v>56</v>
      </c>
      <c r="AR39" s="1" t="s">
        <v>56</v>
      </c>
      <c r="AS39" s="1" t="s">
        <v>56</v>
      </c>
      <c r="AT39" s="1" t="s">
        <v>56</v>
      </c>
      <c r="AU39" s="1" t="s">
        <v>56</v>
      </c>
      <c r="AV39" s="1" t="s">
        <v>55</v>
      </c>
      <c r="AW39" s="1" t="s">
        <v>55</v>
      </c>
      <c r="AX39" s="1" t="s">
        <v>55</v>
      </c>
      <c r="AY39" s="1" t="s">
        <v>55</v>
      </c>
      <c r="AZ39" s="1" t="s">
        <v>52</v>
      </c>
      <c r="BA39" s="1" t="s">
        <v>53</v>
      </c>
    </row>
    <row r="40" spans="1:81" x14ac:dyDescent="0.45">
      <c r="A40" s="3" t="s">
        <v>31</v>
      </c>
    </row>
    <row r="41" spans="1:81" x14ac:dyDescent="0.45">
      <c r="A41" s="3" t="s">
        <v>32</v>
      </c>
      <c r="B41" s="11">
        <v>5</v>
      </c>
      <c r="AT41" s="1" t="s">
        <v>49</v>
      </c>
      <c r="AU41" s="1" t="s">
        <v>50</v>
      </c>
      <c r="AV41" s="1" t="s">
        <v>54</v>
      </c>
      <c r="AW41" s="1" t="s">
        <v>54</v>
      </c>
      <c r="AX41" s="1" t="s">
        <v>54</v>
      </c>
      <c r="AY41" s="1" t="s">
        <v>54</v>
      </c>
      <c r="AZ41" s="1" t="s">
        <v>54</v>
      </c>
      <c r="BA41" s="1" t="s">
        <v>54</v>
      </c>
      <c r="BB41" s="1" t="s">
        <v>52</v>
      </c>
      <c r="BC41" s="1" t="s">
        <v>53</v>
      </c>
    </row>
    <row r="42" spans="1:81" x14ac:dyDescent="0.45">
      <c r="A42" s="3" t="s">
        <v>33</v>
      </c>
      <c r="B42" s="11">
        <v>4</v>
      </c>
      <c r="AU42" s="1" t="s">
        <v>49</v>
      </c>
      <c r="AV42" s="1" t="s">
        <v>50</v>
      </c>
      <c r="AW42" s="1" t="s">
        <v>56</v>
      </c>
      <c r="AX42" s="1" t="s">
        <v>56</v>
      </c>
      <c r="AY42" s="1" t="s">
        <v>56</v>
      </c>
      <c r="AZ42" s="1" t="s">
        <v>56</v>
      </c>
      <c r="BA42" s="1" t="s">
        <v>56</v>
      </c>
      <c r="BB42" s="1" t="s">
        <v>55</v>
      </c>
      <c r="BC42" s="1" t="s">
        <v>55</v>
      </c>
      <c r="BD42" s="1" t="s">
        <v>55</v>
      </c>
      <c r="BE42" s="1" t="s">
        <v>55</v>
      </c>
      <c r="BF42" s="1" t="s">
        <v>52</v>
      </c>
      <c r="BG42" s="1" t="s">
        <v>53</v>
      </c>
    </row>
    <row r="43" spans="1:81" x14ac:dyDescent="0.45">
      <c r="A43" s="3" t="s">
        <v>34</v>
      </c>
      <c r="B43" s="11">
        <v>1</v>
      </c>
      <c r="AJ43" s="6"/>
      <c r="AV43" s="1" t="s">
        <v>49</v>
      </c>
      <c r="AW43" s="1" t="s">
        <v>56</v>
      </c>
      <c r="AX43" s="1" t="s">
        <v>56</v>
      </c>
      <c r="AY43" s="1" t="s">
        <v>56</v>
      </c>
      <c r="AZ43" s="1" t="s">
        <v>56</v>
      </c>
      <c r="BA43" s="1" t="s">
        <v>56</v>
      </c>
      <c r="BB43" s="1" t="s">
        <v>50</v>
      </c>
      <c r="BC43" s="1" t="s">
        <v>56</v>
      </c>
      <c r="BD43" s="1" t="s">
        <v>56</v>
      </c>
      <c r="BE43" s="1" t="s">
        <v>56</v>
      </c>
      <c r="BF43" s="1" t="s">
        <v>51</v>
      </c>
      <c r="BG43" s="1" t="s">
        <v>52</v>
      </c>
      <c r="BH43" s="1" t="s">
        <v>53</v>
      </c>
    </row>
    <row r="44" spans="1:81" x14ac:dyDescent="0.45">
      <c r="A44" s="3" t="s">
        <v>35</v>
      </c>
      <c r="B44" s="11">
        <v>9</v>
      </c>
      <c r="BB44" s="1" t="s">
        <v>49</v>
      </c>
      <c r="BC44" s="1" t="s">
        <v>50</v>
      </c>
      <c r="BD44" s="1" t="s">
        <v>57</v>
      </c>
      <c r="BE44" s="1" t="s">
        <v>57</v>
      </c>
      <c r="BF44" s="1" t="s">
        <v>57</v>
      </c>
      <c r="BG44" s="1" t="s">
        <v>57</v>
      </c>
      <c r="BH44" s="1" t="s">
        <v>57</v>
      </c>
      <c r="BI44" s="1" t="s">
        <v>57</v>
      </c>
      <c r="BJ44" s="1" t="s">
        <v>57</v>
      </c>
      <c r="BK44" s="1" t="s">
        <v>57</v>
      </c>
      <c r="BL44" s="1" t="s">
        <v>57</v>
      </c>
      <c r="BM44" s="1" t="s">
        <v>57</v>
      </c>
      <c r="BN44" s="1" t="s">
        <v>57</v>
      </c>
      <c r="BO44" s="1" t="s">
        <v>57</v>
      </c>
      <c r="BP44" s="1" t="s">
        <v>52</v>
      </c>
      <c r="BQ44" s="1" t="s">
        <v>53</v>
      </c>
    </row>
    <row r="45" spans="1:81" x14ac:dyDescent="0.45">
      <c r="A45" s="3" t="s">
        <v>36</v>
      </c>
      <c r="B45" s="11">
        <v>4</v>
      </c>
      <c r="BC45" s="1" t="s">
        <v>49</v>
      </c>
      <c r="BD45" s="1" t="s">
        <v>50</v>
      </c>
      <c r="BE45" s="1" t="s">
        <v>56</v>
      </c>
      <c r="BF45" s="1" t="s">
        <v>56</v>
      </c>
      <c r="BG45" s="1" t="s">
        <v>56</v>
      </c>
      <c r="BH45" s="1" t="s">
        <v>56</v>
      </c>
      <c r="BI45" s="1" t="s">
        <v>56</v>
      </c>
      <c r="BJ45" s="1" t="s">
        <v>56</v>
      </c>
      <c r="BK45" s="1" t="s">
        <v>56</v>
      </c>
      <c r="BL45" s="1" t="s">
        <v>56</v>
      </c>
      <c r="BM45" s="1" t="s">
        <v>56</v>
      </c>
      <c r="BN45" s="1" t="s">
        <v>56</v>
      </c>
      <c r="BO45" s="1" t="s">
        <v>56</v>
      </c>
      <c r="BP45" s="1" t="s">
        <v>55</v>
      </c>
      <c r="BQ45" s="1" t="s">
        <v>55</v>
      </c>
      <c r="BR45" s="1" t="s">
        <v>55</v>
      </c>
      <c r="BS45" s="1" t="s">
        <v>55</v>
      </c>
      <c r="BT45" s="1" t="s">
        <v>52</v>
      </c>
      <c r="BU45" s="1" t="s">
        <v>53</v>
      </c>
    </row>
    <row r="46" spans="1:81" x14ac:dyDescent="0.45">
      <c r="A46" s="3" t="s">
        <v>37</v>
      </c>
      <c r="B46" s="11">
        <v>0</v>
      </c>
      <c r="BD46" s="1" t="s">
        <v>49</v>
      </c>
      <c r="BE46" s="1" t="s">
        <v>56</v>
      </c>
      <c r="BF46" s="1" t="s">
        <v>56</v>
      </c>
      <c r="BG46" s="1" t="s">
        <v>56</v>
      </c>
      <c r="BH46" s="1" t="s">
        <v>56</v>
      </c>
      <c r="BI46" s="1" t="s">
        <v>56</v>
      </c>
      <c r="BJ46" s="1" t="s">
        <v>56</v>
      </c>
      <c r="BK46" s="1" t="s">
        <v>56</v>
      </c>
      <c r="BL46" s="1" t="s">
        <v>56</v>
      </c>
      <c r="BM46" s="1" t="s">
        <v>56</v>
      </c>
      <c r="BN46" s="1" t="s">
        <v>56</v>
      </c>
      <c r="BO46" s="1" t="s">
        <v>56</v>
      </c>
      <c r="BP46" s="1" t="s">
        <v>50</v>
      </c>
      <c r="BQ46" s="1" t="s">
        <v>51</v>
      </c>
      <c r="BR46" s="1" t="s">
        <v>52</v>
      </c>
      <c r="BS46" s="1" t="s">
        <v>53</v>
      </c>
    </row>
    <row r="47" spans="1:81" x14ac:dyDescent="0.45">
      <c r="A47" s="3" t="s">
        <v>38</v>
      </c>
      <c r="B47" s="11">
        <v>2</v>
      </c>
      <c r="BP47" s="1" t="s">
        <v>49</v>
      </c>
      <c r="BQ47" s="1" t="s">
        <v>50</v>
      </c>
      <c r="BR47" s="1" t="s">
        <v>55</v>
      </c>
      <c r="BS47" s="1" t="s">
        <v>55</v>
      </c>
      <c r="BT47" s="1" t="s">
        <v>55</v>
      </c>
      <c r="BU47" s="1" t="s">
        <v>55</v>
      </c>
      <c r="BV47" s="1" t="s">
        <v>52</v>
      </c>
      <c r="BW47" s="1" t="s">
        <v>53</v>
      </c>
    </row>
    <row r="48" spans="1:81" x14ac:dyDescent="0.45">
      <c r="A48" s="3" t="s">
        <v>39</v>
      </c>
      <c r="B48" s="11">
        <v>6</v>
      </c>
      <c r="BQ48" s="1" t="s">
        <v>49</v>
      </c>
      <c r="BR48" s="1" t="s">
        <v>50</v>
      </c>
      <c r="BS48" s="1" t="s">
        <v>56</v>
      </c>
      <c r="BT48" s="1" t="s">
        <v>56</v>
      </c>
      <c r="BU48" s="1" t="s">
        <v>56</v>
      </c>
      <c r="BV48" s="1" t="s">
        <v>54</v>
      </c>
      <c r="BW48" s="1" t="s">
        <v>54</v>
      </c>
      <c r="BX48" s="1" t="s">
        <v>54</v>
      </c>
      <c r="BY48" s="1" t="s">
        <v>54</v>
      </c>
      <c r="BZ48" s="1" t="s">
        <v>54</v>
      </c>
      <c r="CA48" s="1" t="s">
        <v>54</v>
      </c>
      <c r="CB48" s="1" t="s">
        <v>52</v>
      </c>
      <c r="CC48" s="1" t="s">
        <v>53</v>
      </c>
    </row>
    <row r="49" spans="1:91" x14ac:dyDescent="0.45">
      <c r="A49" s="3" t="s">
        <v>40</v>
      </c>
      <c r="B49" s="11">
        <v>1</v>
      </c>
      <c r="AB49" s="4"/>
      <c r="BR49" s="1" t="s">
        <v>49</v>
      </c>
      <c r="BS49" s="1" t="s">
        <v>56</v>
      </c>
      <c r="BT49" s="1" t="s">
        <v>56</v>
      </c>
      <c r="BU49" s="1" t="s">
        <v>56</v>
      </c>
      <c r="BV49" s="1" t="s">
        <v>50</v>
      </c>
      <c r="BW49" s="1" t="s">
        <v>56</v>
      </c>
      <c r="BX49" s="1" t="s">
        <v>56</v>
      </c>
      <c r="BY49" s="1" t="s">
        <v>56</v>
      </c>
      <c r="BZ49" s="1" t="s">
        <v>56</v>
      </c>
      <c r="CA49" s="1" t="s">
        <v>56</v>
      </c>
      <c r="CB49" s="1" t="s">
        <v>51</v>
      </c>
      <c r="CC49" s="1" t="s">
        <v>52</v>
      </c>
      <c r="CD49" s="1" t="s">
        <v>53</v>
      </c>
    </row>
    <row r="50" spans="1:91" x14ac:dyDescent="0.45">
      <c r="B50" s="11"/>
    </row>
    <row r="51" spans="1:91" x14ac:dyDescent="0.45">
      <c r="A51" s="3" t="s">
        <v>41</v>
      </c>
      <c r="B51" s="11">
        <v>1</v>
      </c>
      <c r="BV51" s="1" t="s">
        <v>49</v>
      </c>
      <c r="BW51" s="1" t="s">
        <v>56</v>
      </c>
      <c r="BX51" s="1" t="s">
        <v>56</v>
      </c>
      <c r="BY51" s="1" t="s">
        <v>56</v>
      </c>
      <c r="BZ51" s="1" t="s">
        <v>56</v>
      </c>
      <c r="CA51" s="1" t="s">
        <v>56</v>
      </c>
      <c r="CB51" s="1" t="s">
        <v>50</v>
      </c>
      <c r="CC51" s="1" t="s">
        <v>51</v>
      </c>
      <c r="CD51" s="1" t="s">
        <v>52</v>
      </c>
      <c r="CE51" s="1" t="s">
        <v>53</v>
      </c>
    </row>
    <row r="52" spans="1:91" x14ac:dyDescent="0.45">
      <c r="A52" s="3" t="s">
        <v>42</v>
      </c>
      <c r="B52" s="11">
        <v>1</v>
      </c>
      <c r="CB52" s="1" t="s">
        <v>49</v>
      </c>
      <c r="CC52" s="1" t="s">
        <v>50</v>
      </c>
      <c r="CD52" s="1" t="s">
        <v>51</v>
      </c>
      <c r="CE52" s="1" t="s">
        <v>52</v>
      </c>
      <c r="CF52" s="1" t="s">
        <v>53</v>
      </c>
    </row>
    <row r="53" spans="1:91" x14ac:dyDescent="0.45">
      <c r="A53" s="3" t="s">
        <v>43</v>
      </c>
      <c r="B53" s="11">
        <v>1</v>
      </c>
      <c r="CC53" s="1" t="s">
        <v>49</v>
      </c>
      <c r="CD53" s="1" t="s">
        <v>50</v>
      </c>
      <c r="CE53" s="1" t="s">
        <v>51</v>
      </c>
      <c r="CF53" s="1" t="s">
        <v>52</v>
      </c>
      <c r="CG53" s="1" t="s">
        <v>53</v>
      </c>
    </row>
    <row r="54" spans="1:91" x14ac:dyDescent="0.45">
      <c r="A54" s="3" t="s">
        <v>44</v>
      </c>
      <c r="B54" s="11">
        <v>1</v>
      </c>
      <c r="CD54" s="1" t="s">
        <v>49</v>
      </c>
      <c r="CE54" s="1" t="s">
        <v>50</v>
      </c>
      <c r="CF54" s="1" t="s">
        <v>51</v>
      </c>
      <c r="CG54" s="1" t="s">
        <v>52</v>
      </c>
      <c r="CH54" s="1" t="s">
        <v>53</v>
      </c>
    </row>
    <row r="55" spans="1:91" x14ac:dyDescent="0.45">
      <c r="A55" s="3" t="s">
        <v>45</v>
      </c>
      <c r="B55" s="11">
        <v>1</v>
      </c>
      <c r="CE55" s="1" t="s">
        <v>49</v>
      </c>
      <c r="CF55" s="1" t="s">
        <v>50</v>
      </c>
      <c r="CG55" s="1" t="s">
        <v>51</v>
      </c>
      <c r="CH55" s="1" t="s">
        <v>52</v>
      </c>
      <c r="CI55" s="1" t="s">
        <v>53</v>
      </c>
    </row>
    <row r="56" spans="1:91" x14ac:dyDescent="0.45">
      <c r="A56" s="3" t="s">
        <v>46</v>
      </c>
      <c r="B56" s="11">
        <v>1</v>
      </c>
      <c r="CF56" s="1" t="s">
        <v>49</v>
      </c>
      <c r="CG56" s="1" t="s">
        <v>50</v>
      </c>
      <c r="CH56" s="1" t="s">
        <v>51</v>
      </c>
      <c r="CI56" s="1" t="s">
        <v>52</v>
      </c>
      <c r="CJ56" s="1" t="s">
        <v>53</v>
      </c>
    </row>
    <row r="57" spans="1:91" x14ac:dyDescent="0.45">
      <c r="B57" s="11"/>
    </row>
    <row r="58" spans="1:91" x14ac:dyDescent="0.45">
      <c r="A58" s="3" t="s">
        <v>47</v>
      </c>
      <c r="B58" s="11">
        <v>1</v>
      </c>
      <c r="CG58" s="1" t="s">
        <v>49</v>
      </c>
      <c r="CH58" s="1" t="s">
        <v>50</v>
      </c>
      <c r="CI58" s="1" t="s">
        <v>51</v>
      </c>
      <c r="CJ58" s="1" t="s">
        <v>52</v>
      </c>
      <c r="CK58" s="1" t="s">
        <v>53</v>
      </c>
    </row>
    <row r="59" spans="1:91" x14ac:dyDescent="0.45">
      <c r="A59" s="3" t="s">
        <v>48</v>
      </c>
      <c r="B59" s="11">
        <v>2</v>
      </c>
      <c r="CH59" s="1" t="s">
        <v>49</v>
      </c>
      <c r="CI59" s="1" t="s">
        <v>50</v>
      </c>
      <c r="CJ59" s="1" t="s">
        <v>56</v>
      </c>
      <c r="CK59" s="1" t="s">
        <v>51</v>
      </c>
      <c r="CL59" s="1" t="s">
        <v>52</v>
      </c>
      <c r="CM59" s="1" t="s">
        <v>53</v>
      </c>
    </row>
    <row r="61" spans="1:91" x14ac:dyDescent="0.45">
      <c r="A61" s="3" t="s">
        <v>59</v>
      </c>
      <c r="B61" s="1">
        <f>SUM(B2:B19)</f>
        <v>28</v>
      </c>
    </row>
    <row r="62" spans="1:91" x14ac:dyDescent="0.45">
      <c r="A62" s="3" t="s">
        <v>58</v>
      </c>
      <c r="B62" s="1">
        <f>SUM(B21:B34,B41:B59)</f>
        <v>66</v>
      </c>
      <c r="CI62" s="1" t="s">
        <v>49</v>
      </c>
      <c r="CJ62" s="1" t="s">
        <v>56</v>
      </c>
    </row>
    <row r="63" spans="1:91" x14ac:dyDescent="0.45">
      <c r="A63" s="3" t="s">
        <v>60</v>
      </c>
      <c r="B63" s="12">
        <f>SUM(B21:B28,B36:B59)</f>
        <v>70</v>
      </c>
    </row>
    <row r="65" spans="1:18" x14ac:dyDescent="0.45">
      <c r="A65" s="3" t="s">
        <v>61</v>
      </c>
      <c r="B65" s="1">
        <f>B61+(B62*10)+(B63*22)</f>
        <v>2228</v>
      </c>
    </row>
    <row r="67" spans="1:18" x14ac:dyDescent="0.45">
      <c r="A67" s="5" t="s">
        <v>63</v>
      </c>
      <c r="B67" s="8"/>
    </row>
    <row r="68" spans="1:18" x14ac:dyDescent="0.45">
      <c r="A68" s="2" t="s">
        <v>5</v>
      </c>
      <c r="B68" s="9">
        <v>5</v>
      </c>
      <c r="C68" s="1" t="s">
        <v>49</v>
      </c>
      <c r="D68" s="1" t="s">
        <v>50</v>
      </c>
      <c r="E68" s="1" t="s">
        <v>51</v>
      </c>
      <c r="F68" s="1" t="s">
        <v>52</v>
      </c>
      <c r="G68" s="1" t="s">
        <v>53</v>
      </c>
    </row>
    <row r="69" spans="1:18" x14ac:dyDescent="0.45">
      <c r="A69" s="3" t="s">
        <v>0</v>
      </c>
      <c r="B69" s="10">
        <v>2</v>
      </c>
      <c r="D69" s="1" t="s">
        <v>49</v>
      </c>
      <c r="E69" s="1" t="s">
        <v>50</v>
      </c>
      <c r="F69" s="1" t="s">
        <v>51</v>
      </c>
      <c r="G69" s="1" t="s">
        <v>52</v>
      </c>
      <c r="H69" s="1" t="s">
        <v>53</v>
      </c>
    </row>
    <row r="70" spans="1:18" x14ac:dyDescent="0.45">
      <c r="A70" s="3" t="s">
        <v>1</v>
      </c>
      <c r="B70" s="10">
        <v>2</v>
      </c>
      <c r="E70" s="1" t="s">
        <v>49</v>
      </c>
      <c r="F70" s="1" t="s">
        <v>50</v>
      </c>
      <c r="G70" s="1" t="s">
        <v>51</v>
      </c>
      <c r="H70" s="1" t="s">
        <v>52</v>
      </c>
      <c r="I70" s="1" t="s">
        <v>53</v>
      </c>
    </row>
    <row r="71" spans="1:18" x14ac:dyDescent="0.45">
      <c r="A71" s="3" t="s">
        <v>2</v>
      </c>
      <c r="B71" s="10">
        <v>2</v>
      </c>
      <c r="F71" s="1" t="s">
        <v>49</v>
      </c>
      <c r="G71" s="1" t="s">
        <v>50</v>
      </c>
      <c r="H71" s="1" t="s">
        <v>51</v>
      </c>
      <c r="I71" s="1" t="s">
        <v>52</v>
      </c>
      <c r="J71" s="1" t="s">
        <v>53</v>
      </c>
    </row>
    <row r="72" spans="1:18" x14ac:dyDescent="0.45">
      <c r="A72" s="3" t="s">
        <v>3</v>
      </c>
      <c r="B72" s="10">
        <v>2</v>
      </c>
      <c r="G72" s="1" t="s">
        <v>49</v>
      </c>
      <c r="H72" s="1" t="s">
        <v>50</v>
      </c>
      <c r="I72" s="1" t="s">
        <v>51</v>
      </c>
      <c r="J72" s="1" t="s">
        <v>52</v>
      </c>
      <c r="K72" s="1" t="s">
        <v>53</v>
      </c>
    </row>
    <row r="73" spans="1:18" x14ac:dyDescent="0.45">
      <c r="A73" s="3" t="s">
        <v>4</v>
      </c>
      <c r="B73" s="10">
        <v>2</v>
      </c>
      <c r="H73" s="1" t="s">
        <v>49</v>
      </c>
      <c r="I73" s="1" t="s">
        <v>50</v>
      </c>
      <c r="J73" s="1" t="s">
        <v>51</v>
      </c>
      <c r="K73" s="1" t="s">
        <v>52</v>
      </c>
      <c r="L73" s="1" t="s">
        <v>53</v>
      </c>
    </row>
    <row r="75" spans="1:18" x14ac:dyDescent="0.45">
      <c r="A75" s="3" t="s">
        <v>6</v>
      </c>
      <c r="B75" s="10">
        <v>1</v>
      </c>
      <c r="I75" s="1" t="s">
        <v>49</v>
      </c>
      <c r="J75" s="1" t="s">
        <v>50</v>
      </c>
      <c r="K75" s="1" t="s">
        <v>51</v>
      </c>
      <c r="L75" s="1" t="s">
        <v>52</v>
      </c>
      <c r="M75" s="1" t="s">
        <v>53</v>
      </c>
    </row>
    <row r="76" spans="1:18" x14ac:dyDescent="0.45">
      <c r="A76" s="3" t="s">
        <v>7</v>
      </c>
      <c r="B76" s="10">
        <v>1</v>
      </c>
      <c r="J76" s="1" t="s">
        <v>49</v>
      </c>
      <c r="K76" s="1" t="s">
        <v>50</v>
      </c>
      <c r="L76" s="1" t="s">
        <v>51</v>
      </c>
      <c r="M76" s="1" t="s">
        <v>52</v>
      </c>
      <c r="N76" s="1" t="s">
        <v>53</v>
      </c>
    </row>
    <row r="77" spans="1:18" x14ac:dyDescent="0.45">
      <c r="A77" s="3" t="s">
        <v>8</v>
      </c>
      <c r="B77" s="10">
        <v>1</v>
      </c>
      <c r="K77" s="1" t="s">
        <v>49</v>
      </c>
      <c r="L77" s="1" t="s">
        <v>50</v>
      </c>
      <c r="M77" s="1" t="s">
        <v>51</v>
      </c>
      <c r="N77" s="1" t="s">
        <v>52</v>
      </c>
      <c r="O77" s="1" t="s">
        <v>53</v>
      </c>
    </row>
    <row r="78" spans="1:18" x14ac:dyDescent="0.45">
      <c r="A78" s="3" t="s">
        <v>9</v>
      </c>
      <c r="B78" s="10">
        <v>1</v>
      </c>
      <c r="L78" s="1" t="s">
        <v>49</v>
      </c>
      <c r="M78" s="1" t="s">
        <v>50</v>
      </c>
      <c r="N78" s="1" t="s">
        <v>51</v>
      </c>
      <c r="O78" s="1" t="s">
        <v>52</v>
      </c>
      <c r="P78" s="1" t="s">
        <v>53</v>
      </c>
    </row>
    <row r="79" spans="1:18" x14ac:dyDescent="0.45">
      <c r="A79" s="3" t="s">
        <v>10</v>
      </c>
      <c r="B79" s="10">
        <v>1</v>
      </c>
      <c r="M79" s="1" t="s">
        <v>49</v>
      </c>
      <c r="N79" s="1" t="s">
        <v>50</v>
      </c>
      <c r="O79" s="1" t="s">
        <v>51</v>
      </c>
      <c r="P79" s="1" t="s">
        <v>52</v>
      </c>
      <c r="Q79" s="1" t="s">
        <v>53</v>
      </c>
    </row>
    <row r="80" spans="1:18" x14ac:dyDescent="0.45">
      <c r="A80" s="3" t="s">
        <v>11</v>
      </c>
      <c r="B80" s="10">
        <v>1</v>
      </c>
      <c r="N80" s="1" t="s">
        <v>49</v>
      </c>
      <c r="O80" s="1" t="s">
        <v>50</v>
      </c>
      <c r="P80" s="1" t="s">
        <v>51</v>
      </c>
      <c r="Q80" s="1" t="s">
        <v>52</v>
      </c>
      <c r="R80" s="1" t="s">
        <v>53</v>
      </c>
    </row>
    <row r="81" spans="1:31" x14ac:dyDescent="0.45">
      <c r="A81" s="3" t="s">
        <v>12</v>
      </c>
      <c r="B81" s="10"/>
    </row>
    <row r="82" spans="1:31" x14ac:dyDescent="0.45">
      <c r="A82" s="3" t="s">
        <v>13</v>
      </c>
      <c r="B82" s="10">
        <v>1</v>
      </c>
      <c r="O82" s="1" t="s">
        <v>49</v>
      </c>
      <c r="P82" s="1" t="s">
        <v>50</v>
      </c>
      <c r="Q82" s="1" t="s">
        <v>51</v>
      </c>
      <c r="R82" s="1" t="s">
        <v>52</v>
      </c>
      <c r="S82" s="1" t="s">
        <v>53</v>
      </c>
    </row>
    <row r="83" spans="1:31" x14ac:dyDescent="0.45">
      <c r="A83" s="3" t="s">
        <v>14</v>
      </c>
      <c r="B83" s="10">
        <v>1</v>
      </c>
      <c r="P83" s="1" t="s">
        <v>49</v>
      </c>
      <c r="Q83" s="1" t="s">
        <v>50</v>
      </c>
      <c r="R83" s="1" t="s">
        <v>51</v>
      </c>
      <c r="S83" s="1" t="s">
        <v>52</v>
      </c>
      <c r="T83" s="1" t="s">
        <v>53</v>
      </c>
    </row>
    <row r="84" spans="1:31" x14ac:dyDescent="0.45">
      <c r="A84" s="3" t="s">
        <v>15</v>
      </c>
      <c r="B84" s="10">
        <v>1</v>
      </c>
      <c r="Q84" s="1" t="s">
        <v>49</v>
      </c>
      <c r="R84" s="1" t="s">
        <v>50</v>
      </c>
      <c r="S84" s="1" t="s">
        <v>51</v>
      </c>
      <c r="T84" s="1" t="s">
        <v>52</v>
      </c>
      <c r="U84" s="1" t="s">
        <v>53</v>
      </c>
    </row>
    <row r="85" spans="1:31" x14ac:dyDescent="0.45">
      <c r="A85" s="3" t="s">
        <v>16</v>
      </c>
      <c r="B85" s="10">
        <v>4</v>
      </c>
      <c r="R85" s="1" t="s">
        <v>49</v>
      </c>
      <c r="S85" s="1" t="s">
        <v>50</v>
      </c>
      <c r="T85" s="1" t="s">
        <v>55</v>
      </c>
      <c r="U85" s="1" t="s">
        <v>55</v>
      </c>
      <c r="V85" s="1" t="s">
        <v>55</v>
      </c>
      <c r="W85" s="1" t="s">
        <v>55</v>
      </c>
      <c r="X85" s="1" t="s">
        <v>52</v>
      </c>
      <c r="Y85" s="1" t="s">
        <v>53</v>
      </c>
    </row>
    <row r="86" spans="1:31" x14ac:dyDescent="0.45">
      <c r="A86" s="3" t="s">
        <v>17</v>
      </c>
    </row>
    <row r="87" spans="1:31" x14ac:dyDescent="0.45">
      <c r="A87" s="3" t="s">
        <v>18</v>
      </c>
      <c r="B87" s="11">
        <v>0</v>
      </c>
      <c r="S87" s="1" t="s">
        <v>49</v>
      </c>
      <c r="T87" s="1" t="s">
        <v>50</v>
      </c>
      <c r="U87" s="1" t="s">
        <v>51</v>
      </c>
      <c r="V87" s="1" t="s">
        <v>52</v>
      </c>
      <c r="W87" s="1" t="s">
        <v>53</v>
      </c>
    </row>
    <row r="88" spans="1:31" x14ac:dyDescent="0.45">
      <c r="A88" s="3" t="s">
        <v>19</v>
      </c>
      <c r="B88" s="11">
        <v>0</v>
      </c>
      <c r="T88" s="1" t="s">
        <v>49</v>
      </c>
      <c r="U88" s="1" t="s">
        <v>50</v>
      </c>
      <c r="V88" s="1" t="s">
        <v>51</v>
      </c>
      <c r="W88" s="1" t="s">
        <v>52</v>
      </c>
      <c r="X88" s="1" t="s">
        <v>53</v>
      </c>
    </row>
    <row r="89" spans="1:31" x14ac:dyDescent="0.45">
      <c r="A89" s="3" t="s">
        <v>20</v>
      </c>
      <c r="B89" s="11">
        <v>1</v>
      </c>
      <c r="U89" s="1" t="s">
        <v>49</v>
      </c>
      <c r="V89" s="1" t="s">
        <v>50</v>
      </c>
      <c r="W89" s="1" t="s">
        <v>51</v>
      </c>
      <c r="X89" s="1" t="s">
        <v>56</v>
      </c>
      <c r="Y89" s="1" t="s">
        <v>52</v>
      </c>
      <c r="Z89" s="1" t="s">
        <v>53</v>
      </c>
    </row>
    <row r="90" spans="1:31" x14ac:dyDescent="0.45">
      <c r="B90" s="11"/>
    </row>
    <row r="91" spans="1:31" x14ac:dyDescent="0.45">
      <c r="A91" s="3" t="s">
        <v>21</v>
      </c>
      <c r="B91" s="11">
        <v>1</v>
      </c>
      <c r="V91" s="1" t="s">
        <v>49</v>
      </c>
      <c r="W91" s="1" t="s">
        <v>50</v>
      </c>
      <c r="X91" s="1" t="s">
        <v>57</v>
      </c>
      <c r="Y91" s="1" t="s">
        <v>56</v>
      </c>
      <c r="Z91" s="1" t="s">
        <v>52</v>
      </c>
      <c r="AA91" s="1" t="s">
        <v>53</v>
      </c>
    </row>
    <row r="92" spans="1:31" x14ac:dyDescent="0.45">
      <c r="A92" s="3" t="s">
        <v>23</v>
      </c>
      <c r="B92" s="11">
        <v>1</v>
      </c>
      <c r="W92" s="1" t="s">
        <v>49</v>
      </c>
      <c r="X92" s="1" t="s">
        <v>50</v>
      </c>
      <c r="Y92" s="1" t="s">
        <v>56</v>
      </c>
      <c r="Z92" s="1" t="s">
        <v>51</v>
      </c>
      <c r="AA92" s="1" t="s">
        <v>52</v>
      </c>
      <c r="AB92" s="1" t="s">
        <v>53</v>
      </c>
    </row>
    <row r="93" spans="1:31" x14ac:dyDescent="0.45">
      <c r="A93" s="3" t="s">
        <v>64</v>
      </c>
      <c r="B93" s="11">
        <v>1</v>
      </c>
      <c r="X93" s="1" t="s">
        <v>49</v>
      </c>
      <c r="Y93" s="1" t="s">
        <v>56</v>
      </c>
      <c r="Z93" s="1" t="s">
        <v>50</v>
      </c>
      <c r="AA93" s="1" t="s">
        <v>51</v>
      </c>
      <c r="AB93" s="1" t="s">
        <v>52</v>
      </c>
      <c r="AC93" s="1" t="s">
        <v>53</v>
      </c>
    </row>
    <row r="94" spans="1:31" x14ac:dyDescent="0.45">
      <c r="B94" s="11"/>
    </row>
    <row r="95" spans="1:31" x14ac:dyDescent="0.45">
      <c r="A95" s="3" t="s">
        <v>22</v>
      </c>
      <c r="B95" s="11">
        <v>2</v>
      </c>
      <c r="Z95" s="1" t="s">
        <v>49</v>
      </c>
      <c r="AA95" s="1" t="s">
        <v>50</v>
      </c>
      <c r="AB95" s="1" t="s">
        <v>56</v>
      </c>
      <c r="AC95" s="1" t="s">
        <v>51</v>
      </c>
      <c r="AD95" s="1" t="s">
        <v>52</v>
      </c>
      <c r="AE95" s="1" t="s">
        <v>53</v>
      </c>
    </row>
    <row r="97" spans="1:58" x14ac:dyDescent="0.45">
      <c r="A97" s="3" t="s">
        <v>24</v>
      </c>
      <c r="B97" s="1">
        <v>5</v>
      </c>
      <c r="AA97" s="1" t="s">
        <v>49</v>
      </c>
      <c r="AB97" s="1" t="s">
        <v>56</v>
      </c>
      <c r="AC97" s="1" t="s">
        <v>50</v>
      </c>
      <c r="AD97" s="1" t="s">
        <v>51</v>
      </c>
      <c r="AE97" s="1" t="s">
        <v>55</v>
      </c>
      <c r="AF97" s="1" t="s">
        <v>55</v>
      </c>
      <c r="AG97" s="1" t="s">
        <v>55</v>
      </c>
      <c r="AH97" s="1" t="s">
        <v>55</v>
      </c>
      <c r="AI97" s="1" t="s">
        <v>52</v>
      </c>
      <c r="AJ97" s="1" t="s">
        <v>53</v>
      </c>
    </row>
    <row r="98" spans="1:58" x14ac:dyDescent="0.45">
      <c r="A98" s="3" t="s">
        <v>65</v>
      </c>
      <c r="B98" s="1">
        <v>12</v>
      </c>
      <c r="AC98" s="1" t="s">
        <v>49</v>
      </c>
      <c r="AD98" s="1" t="s">
        <v>50</v>
      </c>
      <c r="AE98" s="1" t="s">
        <v>56</v>
      </c>
      <c r="AF98" s="1" t="s">
        <v>56</v>
      </c>
      <c r="AG98" s="1" t="s">
        <v>56</v>
      </c>
      <c r="AH98" s="1" t="s">
        <v>56</v>
      </c>
      <c r="AI98" s="1" t="s">
        <v>57</v>
      </c>
      <c r="AJ98" s="1" t="s">
        <v>57</v>
      </c>
      <c r="AK98" s="1" t="s">
        <v>57</v>
      </c>
      <c r="AL98" s="1" t="s">
        <v>57</v>
      </c>
      <c r="AM98" s="1" t="s">
        <v>57</v>
      </c>
      <c r="AN98" s="1" t="s">
        <v>57</v>
      </c>
      <c r="AO98" s="1" t="s">
        <v>57</v>
      </c>
      <c r="AP98" s="1" t="s">
        <v>57</v>
      </c>
      <c r="AQ98" s="1" t="s">
        <v>57</v>
      </c>
      <c r="AR98" s="1" t="s">
        <v>57</v>
      </c>
      <c r="AS98" s="1" t="s">
        <v>57</v>
      </c>
      <c r="AT98" s="1" t="s">
        <v>57</v>
      </c>
      <c r="AU98" s="1" t="s">
        <v>52</v>
      </c>
      <c r="AV98" s="1" t="s">
        <v>53</v>
      </c>
    </row>
    <row r="99" spans="1:58" x14ac:dyDescent="0.45">
      <c r="A99" s="3" t="s">
        <v>41</v>
      </c>
      <c r="B99" s="1">
        <v>0</v>
      </c>
      <c r="AD99" s="1" t="s">
        <v>49</v>
      </c>
      <c r="AE99" s="1" t="s">
        <v>50</v>
      </c>
      <c r="AF99" s="1" t="s">
        <v>51</v>
      </c>
      <c r="AG99" s="1" t="s">
        <v>52</v>
      </c>
      <c r="AH99" s="1" t="s">
        <v>53</v>
      </c>
    </row>
    <row r="100" spans="1:58" x14ac:dyDescent="0.45">
      <c r="A100" s="3" t="s">
        <v>42</v>
      </c>
      <c r="B100" s="1">
        <v>0</v>
      </c>
      <c r="AE100" s="1" t="s">
        <v>49</v>
      </c>
      <c r="AF100" s="1" t="s">
        <v>50</v>
      </c>
      <c r="AG100" s="1" t="s">
        <v>51</v>
      </c>
      <c r="AH100" s="1" t="s">
        <v>52</v>
      </c>
      <c r="AI100" s="1" t="s">
        <v>53</v>
      </c>
    </row>
    <row r="101" spans="1:58" x14ac:dyDescent="0.45">
      <c r="A101" s="3" t="s">
        <v>43</v>
      </c>
      <c r="B101" s="1">
        <v>0</v>
      </c>
      <c r="AF101" s="1" t="s">
        <v>49</v>
      </c>
      <c r="AG101" s="1" t="s">
        <v>50</v>
      </c>
      <c r="AH101" s="1" t="s">
        <v>51</v>
      </c>
      <c r="AI101" s="1" t="s">
        <v>56</v>
      </c>
      <c r="AJ101" s="1" t="s">
        <v>52</v>
      </c>
      <c r="AK101" s="1" t="s">
        <v>53</v>
      </c>
    </row>
    <row r="102" spans="1:58" x14ac:dyDescent="0.45">
      <c r="A102" s="3" t="s">
        <v>26</v>
      </c>
      <c r="B102" s="1">
        <v>4</v>
      </c>
      <c r="AG102" s="1" t="s">
        <v>49</v>
      </c>
      <c r="AH102" s="1" t="s">
        <v>50</v>
      </c>
      <c r="AI102" s="1" t="s">
        <v>56</v>
      </c>
      <c r="AJ102" s="1" t="s">
        <v>56</v>
      </c>
      <c r="AK102" s="1" t="s">
        <v>56</v>
      </c>
      <c r="AL102" s="1" t="s">
        <v>56</v>
      </c>
      <c r="AM102" s="1" t="s">
        <v>56</v>
      </c>
      <c r="AN102" s="1" t="s">
        <v>56</v>
      </c>
      <c r="AO102" s="1" t="s">
        <v>56</v>
      </c>
      <c r="AP102" s="1" t="s">
        <v>56</v>
      </c>
      <c r="AQ102" s="1" t="s">
        <v>56</v>
      </c>
      <c r="AR102" s="1" t="s">
        <v>56</v>
      </c>
      <c r="AS102" s="1" t="s">
        <v>56</v>
      </c>
      <c r="AT102" s="1" t="s">
        <v>56</v>
      </c>
      <c r="AU102" s="1" t="s">
        <v>55</v>
      </c>
      <c r="AV102" s="1" t="s">
        <v>55</v>
      </c>
      <c r="AW102" s="1" t="s">
        <v>55</v>
      </c>
      <c r="AX102" s="1" t="s">
        <v>55</v>
      </c>
      <c r="AY102" s="1" t="s">
        <v>52</v>
      </c>
      <c r="AZ102" s="1" t="s">
        <v>53</v>
      </c>
    </row>
    <row r="103" spans="1:58" x14ac:dyDescent="0.45">
      <c r="A103" s="3" t="s">
        <v>27</v>
      </c>
      <c r="B103" s="1">
        <v>0</v>
      </c>
      <c r="AH103" s="1" t="s">
        <v>49</v>
      </c>
      <c r="AI103" s="1" t="s">
        <v>56</v>
      </c>
      <c r="AJ103" s="1" t="s">
        <v>56</v>
      </c>
      <c r="AK103" s="1" t="s">
        <v>56</v>
      </c>
      <c r="AL103" s="1" t="s">
        <v>56</v>
      </c>
      <c r="AM103" s="1" t="s">
        <v>56</v>
      </c>
      <c r="AN103" s="1" t="s">
        <v>56</v>
      </c>
      <c r="AO103" s="1" t="s">
        <v>56</v>
      </c>
      <c r="AP103" s="1" t="s">
        <v>56</v>
      </c>
      <c r="AQ103" s="1" t="s">
        <v>56</v>
      </c>
      <c r="AR103" s="1" t="s">
        <v>56</v>
      </c>
      <c r="AS103" s="1" t="s">
        <v>56</v>
      </c>
      <c r="AT103" s="1" t="s">
        <v>56</v>
      </c>
      <c r="AU103" s="1" t="s">
        <v>50</v>
      </c>
      <c r="AV103" s="1" t="s">
        <v>51</v>
      </c>
      <c r="AW103" s="1" t="s">
        <v>52</v>
      </c>
      <c r="AX103" s="1" t="s">
        <v>53</v>
      </c>
    </row>
    <row r="104" spans="1:58" x14ac:dyDescent="0.45">
      <c r="A104" s="3" t="s">
        <v>28</v>
      </c>
    </row>
    <row r="105" spans="1:58" x14ac:dyDescent="0.45">
      <c r="A105" s="3" t="s">
        <v>30</v>
      </c>
      <c r="B105" s="1">
        <v>7</v>
      </c>
      <c r="AC105" s="4" t="s">
        <v>49</v>
      </c>
      <c r="AD105" s="1" t="s">
        <v>50</v>
      </c>
      <c r="AE105" s="1" t="s">
        <v>54</v>
      </c>
      <c r="AF105" s="1" t="s">
        <v>54</v>
      </c>
      <c r="AG105" s="1" t="s">
        <v>54</v>
      </c>
      <c r="AH105" s="1" t="s">
        <v>54</v>
      </c>
      <c r="AI105" s="1" t="s">
        <v>54</v>
      </c>
      <c r="AJ105" s="1" t="s">
        <v>54</v>
      </c>
      <c r="AK105" s="1" t="s">
        <v>52</v>
      </c>
      <c r="AL105" s="1" t="s">
        <v>53</v>
      </c>
      <c r="AU105" s="1" t="s">
        <v>49</v>
      </c>
    </row>
    <row r="106" spans="1:58" x14ac:dyDescent="0.45">
      <c r="A106" s="3" t="s">
        <v>41</v>
      </c>
      <c r="B106" s="1">
        <v>0</v>
      </c>
      <c r="AD106" s="1" t="s">
        <v>49</v>
      </c>
      <c r="AE106" s="1" t="s">
        <v>50</v>
      </c>
      <c r="AF106" s="1" t="s">
        <v>51</v>
      </c>
      <c r="AG106" s="1" t="s">
        <v>52</v>
      </c>
      <c r="AH106" s="1" t="s">
        <v>53</v>
      </c>
    </row>
    <row r="107" spans="1:58" x14ac:dyDescent="0.45">
      <c r="A107" s="3" t="s">
        <v>42</v>
      </c>
      <c r="B107" s="1">
        <v>0</v>
      </c>
      <c r="AE107" s="1" t="s">
        <v>49</v>
      </c>
      <c r="AF107" s="1" t="s">
        <v>50</v>
      </c>
      <c r="AG107" s="1" t="s">
        <v>51</v>
      </c>
      <c r="AH107" s="1" t="s">
        <v>52</v>
      </c>
      <c r="AI107" s="1" t="s">
        <v>53</v>
      </c>
    </row>
    <row r="108" spans="1:58" x14ac:dyDescent="0.45">
      <c r="A108" s="3" t="s">
        <v>43</v>
      </c>
      <c r="B108" s="1">
        <v>0</v>
      </c>
      <c r="AF108" s="1" t="s">
        <v>49</v>
      </c>
      <c r="AG108" s="1" t="s">
        <v>50</v>
      </c>
      <c r="AH108" s="1" t="s">
        <v>51</v>
      </c>
      <c r="AI108" s="1" t="s">
        <v>52</v>
      </c>
      <c r="AJ108" s="1" t="s">
        <v>53</v>
      </c>
    </row>
    <row r="109" spans="1:58" x14ac:dyDescent="0.45">
      <c r="A109" s="3" t="s">
        <v>26</v>
      </c>
      <c r="B109" s="1">
        <f>4-9</f>
        <v>-5</v>
      </c>
      <c r="AG109" s="1" t="s">
        <v>49</v>
      </c>
      <c r="AH109" s="1" t="s">
        <v>50</v>
      </c>
      <c r="AI109" s="1" t="s">
        <v>56</v>
      </c>
      <c r="AJ109" s="1" t="s">
        <v>56</v>
      </c>
      <c r="AK109" s="1" t="s">
        <v>55</v>
      </c>
      <c r="AL109" s="1" t="s">
        <v>55</v>
      </c>
      <c r="AM109" s="1" t="s">
        <v>55</v>
      </c>
      <c r="AN109" s="1" t="s">
        <v>55</v>
      </c>
      <c r="AO109" s="1" t="s">
        <v>52</v>
      </c>
      <c r="AP109" s="1" t="s">
        <v>53</v>
      </c>
    </row>
    <row r="111" spans="1:58" x14ac:dyDescent="0.45">
      <c r="A111" s="3" t="s">
        <v>31</v>
      </c>
    </row>
    <row r="112" spans="1:58" x14ac:dyDescent="0.45">
      <c r="A112" s="3" t="s">
        <v>69</v>
      </c>
      <c r="B112" s="11">
        <v>6</v>
      </c>
      <c r="AV112" s="1" t="s">
        <v>49</v>
      </c>
      <c r="AW112" s="1" t="s">
        <v>50</v>
      </c>
      <c r="AX112" s="1" t="s">
        <v>56</v>
      </c>
      <c r="AY112" s="1" t="s">
        <v>54</v>
      </c>
      <c r="AZ112" s="1" t="s">
        <v>54</v>
      </c>
      <c r="BA112" s="1" t="s">
        <v>54</v>
      </c>
      <c r="BB112" s="1" t="s">
        <v>54</v>
      </c>
      <c r="BC112" s="1" t="s">
        <v>54</v>
      </c>
      <c r="BD112" s="1" t="s">
        <v>54</v>
      </c>
      <c r="BE112" s="1" t="s">
        <v>52</v>
      </c>
      <c r="BF112" s="1" t="s">
        <v>53</v>
      </c>
    </row>
    <row r="113" spans="1:80" x14ac:dyDescent="0.45">
      <c r="A113" s="3" t="s">
        <v>68</v>
      </c>
      <c r="B113" s="11">
        <v>12</v>
      </c>
      <c r="AW113" s="1" t="s">
        <v>49</v>
      </c>
      <c r="AX113" s="1" t="s">
        <v>50</v>
      </c>
      <c r="AY113" s="1" t="s">
        <v>56</v>
      </c>
      <c r="AZ113" s="1" t="s">
        <v>56</v>
      </c>
      <c r="BA113" s="1" t="s">
        <v>56</v>
      </c>
      <c r="BB113" s="1" t="s">
        <v>56</v>
      </c>
      <c r="BC113" s="1" t="s">
        <v>56</v>
      </c>
      <c r="BD113" s="1" t="s">
        <v>56</v>
      </c>
      <c r="BE113" s="1" t="s">
        <v>57</v>
      </c>
      <c r="BF113" s="1" t="s">
        <v>57</v>
      </c>
      <c r="BG113" s="1" t="s">
        <v>57</v>
      </c>
      <c r="BH113" s="1" t="s">
        <v>57</v>
      </c>
      <c r="BI113" s="1" t="s">
        <v>57</v>
      </c>
      <c r="BJ113" s="1" t="s">
        <v>57</v>
      </c>
      <c r="BK113" s="1" t="s">
        <v>57</v>
      </c>
      <c r="BL113" s="1" t="s">
        <v>57</v>
      </c>
      <c r="BM113" s="1" t="s">
        <v>57</v>
      </c>
      <c r="BN113" s="1" t="s">
        <v>57</v>
      </c>
      <c r="BO113" s="1" t="s">
        <v>57</v>
      </c>
      <c r="BP113" s="1" t="s">
        <v>57</v>
      </c>
      <c r="BQ113" s="1" t="s">
        <v>52</v>
      </c>
      <c r="BR113" s="1" t="s">
        <v>53</v>
      </c>
    </row>
    <row r="114" spans="1:80" x14ac:dyDescent="0.45">
      <c r="A114" s="3" t="s">
        <v>70</v>
      </c>
      <c r="B114" s="11">
        <v>0</v>
      </c>
      <c r="AX114" s="1" t="s">
        <v>49</v>
      </c>
      <c r="AY114" s="1" t="s">
        <v>56</v>
      </c>
      <c r="AZ114" s="1" t="s">
        <v>56</v>
      </c>
      <c r="BA114" s="1" t="s">
        <v>56</v>
      </c>
      <c r="BB114" s="1" t="s">
        <v>56</v>
      </c>
      <c r="BC114" s="1" t="s">
        <v>56</v>
      </c>
      <c r="BD114" s="1" t="s">
        <v>56</v>
      </c>
      <c r="BE114" s="1" t="s">
        <v>50</v>
      </c>
      <c r="BF114" s="1" t="s">
        <v>55</v>
      </c>
      <c r="BG114" s="1" t="s">
        <v>55</v>
      </c>
      <c r="BH114" s="1" t="s">
        <v>55</v>
      </c>
      <c r="BI114" s="1" t="s">
        <v>55</v>
      </c>
      <c r="BJ114" s="1" t="s">
        <v>52</v>
      </c>
      <c r="BK114" s="1" t="s">
        <v>53</v>
      </c>
    </row>
    <row r="115" spans="1:80" x14ac:dyDescent="0.45">
      <c r="A115" s="3" t="s">
        <v>44</v>
      </c>
      <c r="B115" s="11">
        <v>0</v>
      </c>
      <c r="BE115" s="1" t="s">
        <v>49</v>
      </c>
      <c r="BF115" s="1" t="s">
        <v>50</v>
      </c>
      <c r="BG115" s="1" t="s">
        <v>51</v>
      </c>
      <c r="BH115" s="1" t="s">
        <v>52</v>
      </c>
      <c r="BI115" s="1" t="s">
        <v>53</v>
      </c>
    </row>
    <row r="116" spans="1:80" x14ac:dyDescent="0.45">
      <c r="A116" s="3" t="s">
        <v>45</v>
      </c>
      <c r="B116" s="11">
        <v>0</v>
      </c>
      <c r="BF116" s="1" t="s">
        <v>49</v>
      </c>
      <c r="BG116" s="1" t="s">
        <v>50</v>
      </c>
      <c r="BH116" s="1" t="s">
        <v>51</v>
      </c>
      <c r="BI116" s="1" t="s">
        <v>52</v>
      </c>
      <c r="BJ116" s="1" t="s">
        <v>53</v>
      </c>
    </row>
    <row r="117" spans="1:80" x14ac:dyDescent="0.45">
      <c r="A117" s="3" t="s">
        <v>46</v>
      </c>
      <c r="B117" s="11">
        <v>0</v>
      </c>
      <c r="BG117" s="1" t="s">
        <v>49</v>
      </c>
      <c r="BH117" s="1" t="s">
        <v>50</v>
      </c>
      <c r="BI117" s="1" t="s">
        <v>51</v>
      </c>
      <c r="BJ117" s="1" t="s">
        <v>52</v>
      </c>
      <c r="BK117" s="1" t="s">
        <v>53</v>
      </c>
    </row>
    <row r="118" spans="1:80" x14ac:dyDescent="0.45">
      <c r="A118" s="3" t="s">
        <v>66</v>
      </c>
      <c r="B118" s="11">
        <v>0</v>
      </c>
      <c r="BH118" s="1" t="s">
        <v>49</v>
      </c>
      <c r="BI118" s="1" t="s">
        <v>50</v>
      </c>
      <c r="BJ118" s="1" t="s">
        <v>51</v>
      </c>
      <c r="BK118" s="1" t="s">
        <v>52</v>
      </c>
      <c r="BL118" s="1" t="s">
        <v>53</v>
      </c>
    </row>
    <row r="119" spans="1:80" x14ac:dyDescent="0.45">
      <c r="A119" s="3" t="s">
        <v>38</v>
      </c>
      <c r="B119" s="11">
        <v>0</v>
      </c>
      <c r="BI119" s="1" t="s">
        <v>49</v>
      </c>
      <c r="BJ119" s="1" t="s">
        <v>50</v>
      </c>
      <c r="BK119" s="1" t="s">
        <v>55</v>
      </c>
      <c r="BL119" s="1" t="s">
        <v>55</v>
      </c>
      <c r="BM119" s="1" t="s">
        <v>55</v>
      </c>
      <c r="BN119" s="1" t="s">
        <v>55</v>
      </c>
      <c r="BO119" s="1" t="s">
        <v>52</v>
      </c>
      <c r="BP119" s="1" t="s">
        <v>53</v>
      </c>
    </row>
    <row r="120" spans="1:80" x14ac:dyDescent="0.45">
      <c r="A120" s="3" t="s">
        <v>36</v>
      </c>
      <c r="B120" s="11">
        <v>0</v>
      </c>
      <c r="BJ120" s="1" t="s">
        <v>49</v>
      </c>
      <c r="BK120" s="1" t="s">
        <v>50</v>
      </c>
      <c r="BL120" s="1" t="s">
        <v>55</v>
      </c>
      <c r="BM120" s="1" t="s">
        <v>55</v>
      </c>
      <c r="BN120" s="1" t="s">
        <v>55</v>
      </c>
      <c r="BO120" s="1" t="s">
        <v>55</v>
      </c>
      <c r="BP120" s="1" t="s">
        <v>52</v>
      </c>
      <c r="BQ120" s="1" t="s">
        <v>53</v>
      </c>
    </row>
    <row r="121" spans="1:80" x14ac:dyDescent="0.45">
      <c r="A121" s="3" t="s">
        <v>37</v>
      </c>
      <c r="B121" s="11">
        <v>0</v>
      </c>
      <c r="BK121" s="1" t="s">
        <v>49</v>
      </c>
      <c r="BL121" s="1" t="s">
        <v>50</v>
      </c>
      <c r="BM121" s="1" t="s">
        <v>56</v>
      </c>
      <c r="BN121" s="1" t="s">
        <v>56</v>
      </c>
      <c r="BO121" s="1" t="s">
        <v>56</v>
      </c>
      <c r="BP121" s="1" t="s">
        <v>51</v>
      </c>
      <c r="BQ121" s="1" t="s">
        <v>52</v>
      </c>
      <c r="BR121" s="1" t="s">
        <v>53</v>
      </c>
    </row>
    <row r="122" spans="1:80" x14ac:dyDescent="0.45">
      <c r="A122" s="2" t="s">
        <v>39</v>
      </c>
      <c r="B122" s="11">
        <v>6</v>
      </c>
      <c r="BL122" s="1" t="s">
        <v>49</v>
      </c>
      <c r="BM122" s="1" t="s">
        <v>56</v>
      </c>
      <c r="BN122" s="1" t="s">
        <v>56</v>
      </c>
      <c r="BO122" s="1" t="s">
        <v>56</v>
      </c>
      <c r="BP122" s="1" t="s">
        <v>50</v>
      </c>
      <c r="BQ122" s="1" t="s">
        <v>54</v>
      </c>
      <c r="BR122" s="1" t="s">
        <v>54</v>
      </c>
      <c r="BS122" s="1" t="s">
        <v>54</v>
      </c>
      <c r="BT122" s="1" t="s">
        <v>54</v>
      </c>
      <c r="BU122" s="1" t="s">
        <v>54</v>
      </c>
      <c r="BV122" s="1" t="s">
        <v>54</v>
      </c>
      <c r="BW122" s="1" t="s">
        <v>52</v>
      </c>
      <c r="BX122" s="1" t="s">
        <v>53</v>
      </c>
    </row>
    <row r="123" spans="1:80" x14ac:dyDescent="0.45">
      <c r="A123" s="3" t="s">
        <v>40</v>
      </c>
      <c r="B123" s="11">
        <v>1</v>
      </c>
      <c r="BP123" s="1" t="s">
        <v>49</v>
      </c>
      <c r="BQ123" s="1" t="s">
        <v>50</v>
      </c>
      <c r="BR123" s="1" t="s">
        <v>56</v>
      </c>
      <c r="BS123" s="1" t="s">
        <v>56</v>
      </c>
      <c r="BT123" s="1" t="s">
        <v>56</v>
      </c>
      <c r="BU123" s="1" t="s">
        <v>56</v>
      </c>
      <c r="BV123" s="1" t="s">
        <v>56</v>
      </c>
      <c r="BW123" s="1" t="s">
        <v>51</v>
      </c>
      <c r="BX123" s="1" t="s">
        <v>52</v>
      </c>
      <c r="BY123" s="1" t="s">
        <v>53</v>
      </c>
    </row>
    <row r="124" spans="1:80" x14ac:dyDescent="0.45">
      <c r="A124" s="3" t="s">
        <v>47</v>
      </c>
      <c r="B124" s="11">
        <v>1</v>
      </c>
      <c r="BQ124" s="1" t="s">
        <v>49</v>
      </c>
      <c r="BR124" s="1" t="s">
        <v>56</v>
      </c>
      <c r="BS124" s="1" t="s">
        <v>56</v>
      </c>
      <c r="BT124" s="1" t="s">
        <v>56</v>
      </c>
      <c r="BU124" s="1" t="s">
        <v>56</v>
      </c>
      <c r="BV124" s="1" t="s">
        <v>56</v>
      </c>
      <c r="BW124" s="1" t="s">
        <v>50</v>
      </c>
      <c r="BX124" s="1" t="s">
        <v>51</v>
      </c>
      <c r="BY124" s="1" t="s">
        <v>52</v>
      </c>
      <c r="BZ124" s="1" t="s">
        <v>53</v>
      </c>
    </row>
    <row r="125" spans="1:80" x14ac:dyDescent="0.45">
      <c r="B125" s="11"/>
    </row>
    <row r="126" spans="1:80" x14ac:dyDescent="0.45">
      <c r="A126" s="3" t="s">
        <v>48</v>
      </c>
      <c r="B126" s="11">
        <v>2</v>
      </c>
      <c r="BW126" s="1" t="s">
        <v>49</v>
      </c>
      <c r="BX126" s="1" t="s">
        <v>50</v>
      </c>
      <c r="BY126" s="1" t="s">
        <v>56</v>
      </c>
      <c r="BZ126" s="1" t="s">
        <v>51</v>
      </c>
      <c r="CA126" s="1" t="s">
        <v>52</v>
      </c>
      <c r="CB126" s="1" t="s">
        <v>53</v>
      </c>
    </row>
    <row r="127" spans="1:80" x14ac:dyDescent="0.45">
      <c r="BX127" s="1" t="s">
        <v>49</v>
      </c>
      <c r="BY127" s="1" t="s">
        <v>56</v>
      </c>
    </row>
    <row r="128" spans="1:80" x14ac:dyDescent="0.45">
      <c r="A128" s="3" t="s">
        <v>59</v>
      </c>
      <c r="B128" s="1">
        <f>SUM(B68:B85)</f>
        <v>28</v>
      </c>
    </row>
    <row r="129" spans="1:18" x14ac:dyDescent="0.45">
      <c r="A129" s="3" t="s">
        <v>58</v>
      </c>
      <c r="B129" s="1">
        <f>SUM(B87:B95,B97:B103,B112:B126)</f>
        <v>55</v>
      </c>
    </row>
    <row r="130" spans="1:18" x14ac:dyDescent="0.45">
      <c r="A130" s="3" t="s">
        <v>67</v>
      </c>
      <c r="B130" s="1">
        <f>SUM(B87:B95,B105:B109,B112:B126)</f>
        <v>36</v>
      </c>
    </row>
    <row r="132" spans="1:18" x14ac:dyDescent="0.45">
      <c r="A132" s="3" t="s">
        <v>71</v>
      </c>
      <c r="B132" s="1">
        <f>B128+(B129*10)+(B130*22)</f>
        <v>1370</v>
      </c>
    </row>
    <row r="134" spans="1:18" x14ac:dyDescent="0.45">
      <c r="A134" s="5" t="s">
        <v>74</v>
      </c>
      <c r="B134" s="8"/>
    </row>
    <row r="135" spans="1:18" x14ac:dyDescent="0.45">
      <c r="A135" s="2" t="s">
        <v>5</v>
      </c>
      <c r="B135" s="9">
        <v>5</v>
      </c>
      <c r="C135" s="1" t="s">
        <v>49</v>
      </c>
      <c r="D135" s="1" t="s">
        <v>56</v>
      </c>
      <c r="E135" s="1" t="s">
        <v>56</v>
      </c>
      <c r="F135" s="1" t="s">
        <v>56</v>
      </c>
      <c r="G135" s="1" t="s">
        <v>50</v>
      </c>
      <c r="H135" s="1" t="s">
        <v>51</v>
      </c>
      <c r="I135" s="1" t="s">
        <v>52</v>
      </c>
      <c r="J135" s="1" t="s">
        <v>53</v>
      </c>
    </row>
    <row r="136" spans="1:18" x14ac:dyDescent="0.45">
      <c r="A136" s="3" t="s">
        <v>0</v>
      </c>
      <c r="B136" s="10">
        <v>2</v>
      </c>
      <c r="G136" s="1" t="s">
        <v>49</v>
      </c>
      <c r="H136" s="1" t="s">
        <v>50</v>
      </c>
      <c r="I136" s="1" t="s">
        <v>51</v>
      </c>
      <c r="J136" s="1" t="s">
        <v>52</v>
      </c>
      <c r="K136" s="1" t="s">
        <v>53</v>
      </c>
    </row>
    <row r="137" spans="1:18" x14ac:dyDescent="0.45">
      <c r="A137" s="3" t="s">
        <v>1</v>
      </c>
      <c r="B137" s="10">
        <v>2</v>
      </c>
      <c r="H137" s="1" t="s">
        <v>49</v>
      </c>
      <c r="I137" s="1" t="s">
        <v>50</v>
      </c>
      <c r="J137" s="1" t="s">
        <v>51</v>
      </c>
      <c r="K137" s="1" t="s">
        <v>52</v>
      </c>
      <c r="L137" s="1" t="s">
        <v>53</v>
      </c>
    </row>
    <row r="138" spans="1:18" x14ac:dyDescent="0.45">
      <c r="A138" s="3" t="s">
        <v>2</v>
      </c>
      <c r="B138" s="10">
        <v>2</v>
      </c>
      <c r="I138" s="1" t="s">
        <v>49</v>
      </c>
      <c r="J138" s="1" t="s">
        <v>50</v>
      </c>
      <c r="K138" s="1" t="s">
        <v>51</v>
      </c>
      <c r="L138" s="1" t="s">
        <v>52</v>
      </c>
      <c r="M138" s="1" t="s">
        <v>53</v>
      </c>
    </row>
    <row r="139" spans="1:18" x14ac:dyDescent="0.45">
      <c r="A139" s="3" t="s">
        <v>3</v>
      </c>
      <c r="B139" s="10">
        <v>2</v>
      </c>
      <c r="J139" s="1" t="s">
        <v>49</v>
      </c>
      <c r="K139" s="1" t="s">
        <v>50</v>
      </c>
      <c r="L139" s="1" t="s">
        <v>51</v>
      </c>
      <c r="M139" s="1" t="s">
        <v>52</v>
      </c>
      <c r="N139" s="1" t="s">
        <v>53</v>
      </c>
    </row>
    <row r="140" spans="1:18" x14ac:dyDescent="0.45">
      <c r="A140" s="3" t="s">
        <v>4</v>
      </c>
      <c r="B140" s="10">
        <v>2</v>
      </c>
      <c r="K140" s="1" t="s">
        <v>49</v>
      </c>
      <c r="L140" s="1" t="s">
        <v>50</v>
      </c>
      <c r="M140" s="1" t="s">
        <v>51</v>
      </c>
      <c r="N140" s="1" t="s">
        <v>52</v>
      </c>
      <c r="O140" s="1" t="s">
        <v>53</v>
      </c>
    </row>
    <row r="142" spans="1:18" x14ac:dyDescent="0.45">
      <c r="A142" s="3" t="s">
        <v>6</v>
      </c>
      <c r="B142" s="10">
        <v>1</v>
      </c>
      <c r="L142" s="1" t="s">
        <v>49</v>
      </c>
      <c r="M142" s="1" t="s">
        <v>50</v>
      </c>
      <c r="N142" s="1" t="s">
        <v>51</v>
      </c>
      <c r="O142" s="1" t="s">
        <v>52</v>
      </c>
      <c r="P142" s="1" t="s">
        <v>53</v>
      </c>
    </row>
    <row r="143" spans="1:18" x14ac:dyDescent="0.45">
      <c r="A143" s="3" t="s">
        <v>7</v>
      </c>
      <c r="B143" s="10">
        <v>1</v>
      </c>
      <c r="M143" s="1" t="s">
        <v>49</v>
      </c>
      <c r="N143" s="1" t="s">
        <v>50</v>
      </c>
      <c r="O143" s="1" t="s">
        <v>51</v>
      </c>
      <c r="P143" s="1" t="s">
        <v>52</v>
      </c>
      <c r="Q143" s="1" t="s">
        <v>53</v>
      </c>
    </row>
    <row r="144" spans="1:18" x14ac:dyDescent="0.45">
      <c r="A144" s="3" t="s">
        <v>8</v>
      </c>
      <c r="B144" s="10">
        <v>1</v>
      </c>
      <c r="N144" s="1" t="s">
        <v>49</v>
      </c>
      <c r="O144" s="1" t="s">
        <v>50</v>
      </c>
      <c r="P144" s="1" t="s">
        <v>51</v>
      </c>
      <c r="Q144" s="1" t="s">
        <v>52</v>
      </c>
      <c r="R144" s="1" t="s">
        <v>53</v>
      </c>
    </row>
    <row r="145" spans="1:31" x14ac:dyDescent="0.45">
      <c r="A145" s="3" t="s">
        <v>9</v>
      </c>
      <c r="B145" s="10">
        <v>1</v>
      </c>
      <c r="O145" s="1" t="s">
        <v>49</v>
      </c>
      <c r="P145" s="1" t="s">
        <v>50</v>
      </c>
      <c r="Q145" s="1" t="s">
        <v>51</v>
      </c>
      <c r="R145" s="1" t="s">
        <v>52</v>
      </c>
      <c r="S145" s="1" t="s">
        <v>53</v>
      </c>
    </row>
    <row r="146" spans="1:31" x14ac:dyDescent="0.45">
      <c r="A146" s="3" t="s">
        <v>10</v>
      </c>
      <c r="B146" s="10">
        <v>1</v>
      </c>
      <c r="P146" s="1" t="s">
        <v>49</v>
      </c>
      <c r="Q146" s="1" t="s">
        <v>50</v>
      </c>
      <c r="R146" s="1" t="s">
        <v>51</v>
      </c>
      <c r="S146" s="1" t="s">
        <v>52</v>
      </c>
      <c r="T146" s="1" t="s">
        <v>53</v>
      </c>
    </row>
    <row r="147" spans="1:31" x14ac:dyDescent="0.45">
      <c r="A147" s="3" t="s">
        <v>11</v>
      </c>
      <c r="B147" s="10">
        <v>1</v>
      </c>
      <c r="Q147" s="1" t="s">
        <v>49</v>
      </c>
      <c r="R147" s="1" t="s">
        <v>50</v>
      </c>
      <c r="S147" s="1" t="s">
        <v>51</v>
      </c>
      <c r="T147" s="1" t="s">
        <v>52</v>
      </c>
      <c r="U147" s="1" t="s">
        <v>53</v>
      </c>
    </row>
    <row r="148" spans="1:31" x14ac:dyDescent="0.45">
      <c r="A148" s="7" t="s">
        <v>12</v>
      </c>
      <c r="B148" s="10"/>
    </row>
    <row r="149" spans="1:31" x14ac:dyDescent="0.45">
      <c r="A149" s="3" t="s">
        <v>13</v>
      </c>
      <c r="B149" s="10">
        <v>1</v>
      </c>
      <c r="R149" s="1" t="s">
        <v>49</v>
      </c>
      <c r="S149" s="1" t="s">
        <v>50</v>
      </c>
      <c r="T149" s="1" t="s">
        <v>51</v>
      </c>
      <c r="U149" s="1" t="s">
        <v>52</v>
      </c>
      <c r="V149" s="1" t="s">
        <v>53</v>
      </c>
    </row>
    <row r="150" spans="1:31" x14ac:dyDescent="0.45">
      <c r="A150" s="3" t="s">
        <v>14</v>
      </c>
      <c r="B150" s="10">
        <v>1</v>
      </c>
      <c r="S150" s="1" t="s">
        <v>49</v>
      </c>
      <c r="T150" s="1" t="s">
        <v>50</v>
      </c>
      <c r="U150" s="1" t="s">
        <v>51</v>
      </c>
      <c r="V150" s="1" t="s">
        <v>52</v>
      </c>
      <c r="W150" s="1" t="s">
        <v>53</v>
      </c>
    </row>
    <row r="151" spans="1:31" x14ac:dyDescent="0.45">
      <c r="A151" s="3" t="s">
        <v>15</v>
      </c>
      <c r="B151" s="10">
        <v>1</v>
      </c>
      <c r="T151" s="1" t="s">
        <v>49</v>
      </c>
      <c r="U151" s="1" t="s">
        <v>50</v>
      </c>
      <c r="V151" s="1" t="s">
        <v>51</v>
      </c>
      <c r="W151" s="1" t="s">
        <v>52</v>
      </c>
      <c r="X151" s="1" t="s">
        <v>53</v>
      </c>
    </row>
    <row r="152" spans="1:31" x14ac:dyDescent="0.45">
      <c r="A152" s="3" t="s">
        <v>16</v>
      </c>
      <c r="B152" s="10">
        <v>4</v>
      </c>
      <c r="U152" s="1" t="s">
        <v>49</v>
      </c>
      <c r="V152" s="1" t="s">
        <v>50</v>
      </c>
      <c r="W152" s="1" t="s">
        <v>55</v>
      </c>
      <c r="X152" s="1" t="s">
        <v>55</v>
      </c>
      <c r="Y152" s="1" t="s">
        <v>55</v>
      </c>
      <c r="Z152" s="1" t="s">
        <v>55</v>
      </c>
      <c r="AA152" s="1" t="s">
        <v>52</v>
      </c>
      <c r="AB152" s="1" t="s">
        <v>53</v>
      </c>
    </row>
    <row r="153" spans="1:31" x14ac:dyDescent="0.45">
      <c r="A153" s="7" t="s">
        <v>17</v>
      </c>
    </row>
    <row r="154" spans="1:31" x14ac:dyDescent="0.45">
      <c r="A154" s="3" t="s">
        <v>18</v>
      </c>
      <c r="B154" s="1">
        <v>0</v>
      </c>
      <c r="V154" s="1" t="s">
        <v>49</v>
      </c>
      <c r="W154" s="1" t="s">
        <v>50</v>
      </c>
      <c r="X154" s="1" t="s">
        <v>51</v>
      </c>
      <c r="Y154" s="1" t="s">
        <v>52</v>
      </c>
      <c r="Z154" s="1" t="s">
        <v>53</v>
      </c>
    </row>
    <row r="155" spans="1:31" x14ac:dyDescent="0.45">
      <c r="A155" s="3" t="s">
        <v>19</v>
      </c>
      <c r="B155" s="1">
        <v>0</v>
      </c>
      <c r="W155" s="1" t="s">
        <v>49</v>
      </c>
      <c r="X155" s="1" t="s">
        <v>50</v>
      </c>
      <c r="Y155" s="1" t="s">
        <v>51</v>
      </c>
      <c r="Z155" s="1" t="s">
        <v>52</v>
      </c>
      <c r="AA155" s="1" t="s">
        <v>53</v>
      </c>
    </row>
    <row r="156" spans="1:31" x14ac:dyDescent="0.45">
      <c r="A156" s="3" t="s">
        <v>20</v>
      </c>
      <c r="B156" s="1">
        <v>0</v>
      </c>
      <c r="X156" s="1" t="s">
        <v>49</v>
      </c>
      <c r="Y156" s="1" t="s">
        <v>50</v>
      </c>
      <c r="Z156" s="1" t="s">
        <v>51</v>
      </c>
      <c r="AA156" s="1" t="s">
        <v>52</v>
      </c>
      <c r="AB156" s="1" t="s">
        <v>53</v>
      </c>
    </row>
    <row r="157" spans="1:31" x14ac:dyDescent="0.45">
      <c r="A157" s="3" t="s">
        <v>75</v>
      </c>
      <c r="B157" s="1">
        <v>1</v>
      </c>
      <c r="Y157" s="1" t="s">
        <v>49</v>
      </c>
      <c r="Z157" s="1" t="s">
        <v>50</v>
      </c>
      <c r="AA157" s="1" t="s">
        <v>51</v>
      </c>
      <c r="AB157" s="1" t="s">
        <v>52</v>
      </c>
      <c r="AC157" s="1" t="s">
        <v>53</v>
      </c>
    </row>
    <row r="158" spans="1:31" x14ac:dyDescent="0.45">
      <c r="A158" s="3" t="s">
        <v>76</v>
      </c>
      <c r="B158" s="1">
        <v>1</v>
      </c>
      <c r="Z158" s="1" t="s">
        <v>49</v>
      </c>
      <c r="AA158" s="1" t="s">
        <v>50</v>
      </c>
      <c r="AB158" s="1" t="s">
        <v>51</v>
      </c>
      <c r="AC158" s="1" t="s">
        <v>52</v>
      </c>
      <c r="AD158" s="1" t="s">
        <v>53</v>
      </c>
    </row>
    <row r="159" spans="1:31" x14ac:dyDescent="0.45">
      <c r="A159" s="3" t="s">
        <v>77</v>
      </c>
      <c r="B159" s="1">
        <v>1</v>
      </c>
      <c r="AA159" s="1" t="s">
        <v>49</v>
      </c>
      <c r="AB159" s="1" t="s">
        <v>50</v>
      </c>
      <c r="AC159" s="1" t="s">
        <v>51</v>
      </c>
      <c r="AD159" s="1" t="s">
        <v>52</v>
      </c>
      <c r="AE159" s="1" t="s">
        <v>53</v>
      </c>
    </row>
    <row r="161" spans="1:54" x14ac:dyDescent="0.45">
      <c r="A161" s="3" t="s">
        <v>21</v>
      </c>
      <c r="B161" s="1">
        <v>1</v>
      </c>
      <c r="AB161" s="1" t="s">
        <v>49</v>
      </c>
      <c r="AC161" s="1" t="s">
        <v>50</v>
      </c>
      <c r="AD161" s="1" t="s">
        <v>51</v>
      </c>
      <c r="AE161" s="1" t="s">
        <v>52</v>
      </c>
      <c r="AF161" s="1" t="s">
        <v>53</v>
      </c>
    </row>
    <row r="162" spans="1:54" x14ac:dyDescent="0.45">
      <c r="A162" s="3" t="s">
        <v>23</v>
      </c>
      <c r="B162" s="1">
        <v>1</v>
      </c>
      <c r="AC162" s="1" t="s">
        <v>49</v>
      </c>
      <c r="AD162" s="1" t="s">
        <v>50</v>
      </c>
      <c r="AE162" s="1" t="s">
        <v>51</v>
      </c>
      <c r="AF162" s="1" t="s">
        <v>52</v>
      </c>
      <c r="AG162" s="1" t="s">
        <v>53</v>
      </c>
    </row>
    <row r="163" spans="1:54" x14ac:dyDescent="0.45">
      <c r="A163" s="3" t="s">
        <v>64</v>
      </c>
      <c r="B163" s="1">
        <v>1</v>
      </c>
      <c r="AD163" s="1" t="s">
        <v>49</v>
      </c>
      <c r="AE163" s="1" t="s">
        <v>50</v>
      </c>
      <c r="AF163" s="1" t="s">
        <v>51</v>
      </c>
      <c r="AG163" s="1" t="s">
        <v>52</v>
      </c>
      <c r="AH163" s="1" t="s">
        <v>53</v>
      </c>
    </row>
    <row r="164" spans="1:54" x14ac:dyDescent="0.45">
      <c r="A164" s="3" t="s">
        <v>78</v>
      </c>
      <c r="B164" s="1">
        <v>1</v>
      </c>
      <c r="C164" s="3"/>
      <c r="D164" s="3"/>
      <c r="AE164" s="1" t="s">
        <v>49</v>
      </c>
      <c r="AF164" s="1" t="s">
        <v>50</v>
      </c>
      <c r="AG164" s="1" t="s">
        <v>51</v>
      </c>
      <c r="AH164" s="1" t="s">
        <v>52</v>
      </c>
      <c r="AI164" s="1" t="s">
        <v>53</v>
      </c>
    </row>
    <row r="165" spans="1:54" x14ac:dyDescent="0.45">
      <c r="A165" s="3" t="s">
        <v>79</v>
      </c>
      <c r="B165" s="1">
        <v>1</v>
      </c>
      <c r="AF165" s="1" t="s">
        <v>49</v>
      </c>
      <c r="AG165" s="1" t="s">
        <v>50</v>
      </c>
      <c r="AH165" s="1" t="s">
        <v>51</v>
      </c>
      <c r="AI165" s="1" t="s">
        <v>52</v>
      </c>
      <c r="AJ165" s="1" t="s">
        <v>53</v>
      </c>
    </row>
    <row r="167" spans="1:54" x14ac:dyDescent="0.45">
      <c r="A167" s="3" t="s">
        <v>80</v>
      </c>
      <c r="B167" s="1">
        <v>1</v>
      </c>
      <c r="C167" s="3"/>
      <c r="D167" s="3"/>
      <c r="E167" s="3"/>
      <c r="AG167" s="1" t="s">
        <v>49</v>
      </c>
      <c r="AH167" s="1" t="s">
        <v>50</v>
      </c>
      <c r="AI167" s="1" t="s">
        <v>51</v>
      </c>
      <c r="AJ167" s="1" t="s">
        <v>52</v>
      </c>
      <c r="AK167" s="1" t="s">
        <v>53</v>
      </c>
    </row>
    <row r="168" spans="1:54" x14ac:dyDescent="0.45">
      <c r="A168" s="3" t="s">
        <v>24</v>
      </c>
      <c r="C168" s="3"/>
      <c r="D168" s="3"/>
      <c r="E168" s="3"/>
      <c r="AH168" s="1" t="s">
        <v>49</v>
      </c>
    </row>
    <row r="169" spans="1:54" x14ac:dyDescent="0.45">
      <c r="A169" s="3" t="s">
        <v>81</v>
      </c>
      <c r="C169" s="3"/>
      <c r="D169" s="3"/>
      <c r="E169" s="3"/>
    </row>
    <row r="170" spans="1:54" x14ac:dyDescent="0.45">
      <c r="A170" s="7" t="s">
        <v>82</v>
      </c>
      <c r="C170" s="3"/>
      <c r="D170" s="3"/>
      <c r="E170" s="3"/>
    </row>
    <row r="171" spans="1:54" x14ac:dyDescent="0.45">
      <c r="A171" s="3" t="s">
        <v>83</v>
      </c>
      <c r="B171" s="1">
        <v>5</v>
      </c>
      <c r="AI171" s="1" t="s">
        <v>49</v>
      </c>
      <c r="AJ171" s="1" t="s">
        <v>50</v>
      </c>
      <c r="AK171" s="1" t="s">
        <v>55</v>
      </c>
      <c r="AL171" s="1" t="s">
        <v>55</v>
      </c>
      <c r="AM171" s="1" t="s">
        <v>55</v>
      </c>
      <c r="AN171" s="1" t="s">
        <v>55</v>
      </c>
      <c r="AO171" s="1" t="s">
        <v>52</v>
      </c>
      <c r="AP171" s="1" t="s">
        <v>53</v>
      </c>
    </row>
    <row r="172" spans="1:54" x14ac:dyDescent="0.45">
      <c r="A172" s="7" t="s">
        <v>84</v>
      </c>
    </row>
    <row r="173" spans="1:54" x14ac:dyDescent="0.45">
      <c r="A173" s="3" t="s">
        <v>65</v>
      </c>
      <c r="B173" s="1">
        <v>12</v>
      </c>
      <c r="C173" s="3"/>
      <c r="D173" s="3"/>
      <c r="E173" s="3"/>
      <c r="F173" s="3"/>
      <c r="AJ173" s="1" t="s">
        <v>49</v>
      </c>
      <c r="AK173" s="1" t="s">
        <v>50</v>
      </c>
      <c r="AL173" s="1" t="s">
        <v>56</v>
      </c>
      <c r="AM173" s="1" t="s">
        <v>56</v>
      </c>
      <c r="AN173" s="1" t="s">
        <v>56</v>
      </c>
      <c r="AO173" s="1" t="s">
        <v>57</v>
      </c>
      <c r="AP173" s="1" t="s">
        <v>57</v>
      </c>
      <c r="AQ173" s="1" t="s">
        <v>57</v>
      </c>
      <c r="AR173" s="1" t="s">
        <v>57</v>
      </c>
      <c r="AS173" s="1" t="s">
        <v>57</v>
      </c>
      <c r="AT173" s="1" t="s">
        <v>57</v>
      </c>
      <c r="AU173" s="1" t="s">
        <v>57</v>
      </c>
      <c r="AV173" s="1" t="s">
        <v>57</v>
      </c>
      <c r="AW173" s="1" t="s">
        <v>57</v>
      </c>
      <c r="AX173" s="1" t="s">
        <v>57</v>
      </c>
      <c r="AY173" s="1" t="s">
        <v>57</v>
      </c>
      <c r="AZ173" s="1" t="s">
        <v>57</v>
      </c>
      <c r="BA173" s="1" t="s">
        <v>52</v>
      </c>
      <c r="BB173" s="1" t="s">
        <v>53</v>
      </c>
    </row>
    <row r="174" spans="1:54" x14ac:dyDescent="0.45">
      <c r="A174" s="3" t="s">
        <v>85</v>
      </c>
      <c r="B174" s="1">
        <v>0</v>
      </c>
      <c r="C174" s="3"/>
      <c r="D174" s="3"/>
      <c r="E174" s="3"/>
      <c r="F174" s="3"/>
      <c r="AK174" s="1" t="s">
        <v>49</v>
      </c>
      <c r="AL174" s="1" t="s">
        <v>56</v>
      </c>
      <c r="AM174" s="1" t="s">
        <v>56</v>
      </c>
      <c r="AN174" s="1" t="s">
        <v>56</v>
      </c>
      <c r="AO174" s="1" t="s">
        <v>50</v>
      </c>
      <c r="AP174" s="1" t="s">
        <v>51</v>
      </c>
      <c r="AQ174" s="1" t="s">
        <v>52</v>
      </c>
      <c r="AR174" s="1" t="s">
        <v>53</v>
      </c>
    </row>
    <row r="175" spans="1:54" x14ac:dyDescent="0.45">
      <c r="A175" s="3" t="s">
        <v>86</v>
      </c>
      <c r="B175" s="1">
        <v>0</v>
      </c>
      <c r="C175" s="3"/>
      <c r="D175" s="3"/>
      <c r="E175" s="3"/>
      <c r="F175" s="3"/>
      <c r="AO175" s="1" t="s">
        <v>49</v>
      </c>
      <c r="AP175" s="1" t="s">
        <v>50</v>
      </c>
      <c r="AQ175" s="1" t="s">
        <v>51</v>
      </c>
      <c r="AR175" s="1" t="s">
        <v>52</v>
      </c>
      <c r="AS175" s="1" t="s">
        <v>53</v>
      </c>
    </row>
    <row r="177" spans="1:81" x14ac:dyDescent="0.45">
      <c r="A177" s="3" t="s">
        <v>87</v>
      </c>
      <c r="B177" s="1">
        <v>0</v>
      </c>
      <c r="C177" s="3"/>
      <c r="D177" s="3"/>
      <c r="E177" s="3"/>
      <c r="AP177" s="1" t="s">
        <v>49</v>
      </c>
      <c r="AQ177" s="1" t="s">
        <v>50</v>
      </c>
      <c r="AR177" s="1" t="s">
        <v>51</v>
      </c>
      <c r="AS177" s="1" t="s">
        <v>52</v>
      </c>
      <c r="AT177" s="1" t="s">
        <v>53</v>
      </c>
    </row>
    <row r="178" spans="1:81" x14ac:dyDescent="0.45">
      <c r="A178" s="3" t="s">
        <v>88</v>
      </c>
      <c r="B178" s="1">
        <v>0</v>
      </c>
      <c r="C178" s="3"/>
      <c r="D178" s="3"/>
      <c r="E178" s="3"/>
      <c r="AQ178" s="1" t="s">
        <v>49</v>
      </c>
      <c r="AR178" s="1" t="s">
        <v>50</v>
      </c>
      <c r="AS178" s="1" t="s">
        <v>55</v>
      </c>
      <c r="AT178" s="1" t="s">
        <v>55</v>
      </c>
      <c r="AU178" s="1" t="s">
        <v>55</v>
      </c>
      <c r="AV178" s="1" t="s">
        <v>55</v>
      </c>
      <c r="AW178" s="1" t="s">
        <v>52</v>
      </c>
      <c r="AX178" s="1" t="s">
        <v>53</v>
      </c>
    </row>
    <row r="179" spans="1:81" x14ac:dyDescent="0.45">
      <c r="A179" s="3" t="s">
        <v>89</v>
      </c>
      <c r="B179" s="1">
        <v>0</v>
      </c>
      <c r="C179" s="3"/>
      <c r="D179" s="3"/>
      <c r="E179" s="3"/>
      <c r="AR179" s="1" t="s">
        <v>49</v>
      </c>
      <c r="AS179" s="1" t="s">
        <v>50</v>
      </c>
      <c r="AT179" s="1" t="s">
        <v>51</v>
      </c>
      <c r="AU179" s="1" t="s">
        <v>52</v>
      </c>
      <c r="AV179" s="1" t="s">
        <v>53</v>
      </c>
    </row>
    <row r="180" spans="1:81" x14ac:dyDescent="0.45">
      <c r="A180" s="7" t="s">
        <v>90</v>
      </c>
    </row>
    <row r="181" spans="1:81" x14ac:dyDescent="0.45">
      <c r="A181" s="3" t="s">
        <v>92</v>
      </c>
      <c r="B181" s="1">
        <v>0</v>
      </c>
      <c r="AS181" s="1" t="s">
        <v>49</v>
      </c>
    </row>
    <row r="182" spans="1:81" x14ac:dyDescent="0.45">
      <c r="A182" s="7" t="s">
        <v>91</v>
      </c>
    </row>
    <row r="183" spans="1:81" x14ac:dyDescent="0.45">
      <c r="A183" s="3" t="s">
        <v>93</v>
      </c>
      <c r="B183" s="1">
        <v>8</v>
      </c>
      <c r="AT183" s="1" t="s">
        <v>49</v>
      </c>
      <c r="AU183" s="1" t="s">
        <v>50</v>
      </c>
      <c r="AV183" s="1" t="s">
        <v>56</v>
      </c>
      <c r="AW183" s="1" t="s">
        <v>57</v>
      </c>
      <c r="AX183" s="1" t="s">
        <v>57</v>
      </c>
      <c r="AY183" s="1" t="s">
        <v>57</v>
      </c>
      <c r="AZ183" s="1" t="s">
        <v>57</v>
      </c>
      <c r="BA183" s="1" t="s">
        <v>57</v>
      </c>
      <c r="BB183" s="1" t="s">
        <v>57</v>
      </c>
      <c r="BC183" s="1" t="s">
        <v>57</v>
      </c>
      <c r="BD183" s="1" t="s">
        <v>57</v>
      </c>
      <c r="BE183" s="1" t="s">
        <v>57</v>
      </c>
      <c r="BF183" s="1" t="s">
        <v>57</v>
      </c>
      <c r="BG183" s="1" t="s">
        <v>57</v>
      </c>
      <c r="BH183" s="1" t="s">
        <v>57</v>
      </c>
      <c r="BI183" s="1" t="s">
        <v>52</v>
      </c>
      <c r="BJ183" s="1" t="s">
        <v>53</v>
      </c>
    </row>
    <row r="184" spans="1:81" x14ac:dyDescent="0.45">
      <c r="A184" s="3" t="s">
        <v>26</v>
      </c>
      <c r="B184" s="1">
        <v>0</v>
      </c>
      <c r="AU184" s="1" t="s">
        <v>49</v>
      </c>
      <c r="AV184" s="1" t="s">
        <v>56</v>
      </c>
      <c r="AW184" s="1" t="s">
        <v>50</v>
      </c>
      <c r="AX184" s="1" t="s">
        <v>55</v>
      </c>
      <c r="AY184" s="1" t="s">
        <v>55</v>
      </c>
      <c r="AZ184" s="1" t="s">
        <v>55</v>
      </c>
      <c r="BA184" s="1" t="s">
        <v>55</v>
      </c>
      <c r="BB184" s="1" t="s">
        <v>52</v>
      </c>
      <c r="BC184" s="1" t="s">
        <v>53</v>
      </c>
    </row>
    <row r="185" spans="1:81" x14ac:dyDescent="0.45">
      <c r="A185" s="3" t="s">
        <v>69</v>
      </c>
      <c r="B185" s="1">
        <v>0</v>
      </c>
      <c r="AW185" s="1" t="s">
        <v>49</v>
      </c>
      <c r="AX185" s="1" t="s">
        <v>50</v>
      </c>
      <c r="AY185" s="1" t="s">
        <v>54</v>
      </c>
      <c r="AZ185" s="1" t="s">
        <v>54</v>
      </c>
      <c r="BA185" s="1" t="s">
        <v>54</v>
      </c>
      <c r="BB185" s="1" t="s">
        <v>54</v>
      </c>
      <c r="BC185" s="1" t="s">
        <v>54</v>
      </c>
      <c r="BD185" s="1" t="s">
        <v>54</v>
      </c>
      <c r="BE185" s="1" t="s">
        <v>52</v>
      </c>
      <c r="BF185" s="1" t="s">
        <v>53</v>
      </c>
    </row>
    <row r="186" spans="1:81" x14ac:dyDescent="0.45">
      <c r="A186" s="3" t="s">
        <v>70</v>
      </c>
      <c r="B186" s="1">
        <v>1</v>
      </c>
      <c r="AX186" s="1" t="s">
        <v>49</v>
      </c>
      <c r="AY186" s="1" t="s">
        <v>50</v>
      </c>
      <c r="AZ186" s="1" t="s">
        <v>56</v>
      </c>
      <c r="BA186" s="1" t="s">
        <v>56</v>
      </c>
      <c r="BB186" s="1" t="s">
        <v>56</v>
      </c>
      <c r="BC186" s="1" t="s">
        <v>56</v>
      </c>
      <c r="BD186" s="1" t="s">
        <v>56</v>
      </c>
      <c r="BE186" s="1" t="s">
        <v>55</v>
      </c>
      <c r="BF186" s="1" t="s">
        <v>55</v>
      </c>
      <c r="BG186" s="1" t="s">
        <v>55</v>
      </c>
      <c r="BH186" s="1" t="s">
        <v>55</v>
      </c>
      <c r="BI186" s="1" t="s">
        <v>56</v>
      </c>
      <c r="BJ186" s="1" t="s">
        <v>52</v>
      </c>
      <c r="BK186" s="1" t="s">
        <v>53</v>
      </c>
    </row>
    <row r="187" spans="1:81" x14ac:dyDescent="0.45">
      <c r="A187" s="3" t="s">
        <v>35</v>
      </c>
      <c r="B187" s="1">
        <v>12</v>
      </c>
      <c r="AY187" s="1" t="s">
        <v>49</v>
      </c>
      <c r="AZ187" s="1" t="s">
        <v>56</v>
      </c>
      <c r="BA187" s="1" t="s">
        <v>56</v>
      </c>
      <c r="BB187" s="1" t="s">
        <v>56</v>
      </c>
      <c r="BC187" s="1" t="s">
        <v>56</v>
      </c>
      <c r="BD187" s="1" t="s">
        <v>56</v>
      </c>
      <c r="BE187" s="1" t="s">
        <v>50</v>
      </c>
      <c r="BF187" s="1" t="s">
        <v>56</v>
      </c>
      <c r="BG187" s="1" t="s">
        <v>56</v>
      </c>
      <c r="BH187" s="1" t="s">
        <v>56</v>
      </c>
      <c r="BI187" s="1" t="s">
        <v>56</v>
      </c>
      <c r="BJ187" s="1" t="s">
        <v>57</v>
      </c>
      <c r="BK187" s="1" t="s">
        <v>57</v>
      </c>
      <c r="BL187" s="1" t="s">
        <v>57</v>
      </c>
      <c r="BM187" s="1" t="s">
        <v>57</v>
      </c>
      <c r="BN187" s="1" t="s">
        <v>57</v>
      </c>
      <c r="BO187" s="1" t="s">
        <v>57</v>
      </c>
      <c r="BP187" s="1" t="s">
        <v>57</v>
      </c>
      <c r="BQ187" s="1" t="s">
        <v>57</v>
      </c>
      <c r="BR187" s="1" t="s">
        <v>57</v>
      </c>
      <c r="BS187" s="1" t="s">
        <v>57</v>
      </c>
      <c r="BT187" s="1" t="s">
        <v>57</v>
      </c>
      <c r="BU187" s="1" t="s">
        <v>57</v>
      </c>
      <c r="BV187" s="1" t="s">
        <v>52</v>
      </c>
      <c r="BW187" s="1" t="s">
        <v>53</v>
      </c>
    </row>
    <row r="188" spans="1:81" x14ac:dyDescent="0.45">
      <c r="A188" s="3" t="s">
        <v>94</v>
      </c>
      <c r="B188" s="1">
        <v>0</v>
      </c>
      <c r="BE188" s="1" t="s">
        <v>49</v>
      </c>
      <c r="BF188" s="1" t="s">
        <v>56</v>
      </c>
      <c r="BG188" s="1" t="s">
        <v>56</v>
      </c>
      <c r="BH188" s="1" t="s">
        <v>56</v>
      </c>
      <c r="BI188" s="1" t="s">
        <v>56</v>
      </c>
      <c r="BJ188" s="1" t="s">
        <v>50</v>
      </c>
      <c r="BK188" s="1" t="s">
        <v>55</v>
      </c>
      <c r="BL188" s="1" t="s">
        <v>55</v>
      </c>
      <c r="BM188" s="1" t="s">
        <v>55</v>
      </c>
      <c r="BN188" s="1" t="s">
        <v>55</v>
      </c>
      <c r="BO188" s="1" t="s">
        <v>52</v>
      </c>
      <c r="BP188" s="1" t="s">
        <v>53</v>
      </c>
    </row>
    <row r="189" spans="1:81" x14ac:dyDescent="0.45">
      <c r="A189" s="3" t="s">
        <v>95</v>
      </c>
      <c r="B189" s="1">
        <v>0</v>
      </c>
      <c r="BJ189" s="1" t="s">
        <v>49</v>
      </c>
      <c r="BK189" s="1" t="s">
        <v>50</v>
      </c>
      <c r="BL189" s="1" t="s">
        <v>54</v>
      </c>
      <c r="BM189" s="1" t="s">
        <v>54</v>
      </c>
      <c r="BN189" s="1" t="s">
        <v>54</v>
      </c>
      <c r="BO189" s="1" t="s">
        <v>54</v>
      </c>
      <c r="BP189" s="1" t="s">
        <v>54</v>
      </c>
      <c r="BQ189" s="1" t="s">
        <v>54</v>
      </c>
      <c r="BR189" s="1" t="s">
        <v>52</v>
      </c>
      <c r="BS189" s="1" t="s">
        <v>53</v>
      </c>
    </row>
    <row r="190" spans="1:81" x14ac:dyDescent="0.45">
      <c r="A190" s="3" t="s">
        <v>36</v>
      </c>
      <c r="B190" s="1">
        <v>4</v>
      </c>
      <c r="BK190" s="1" t="s">
        <v>49</v>
      </c>
      <c r="BL190" s="1" t="s">
        <v>50</v>
      </c>
      <c r="BM190" s="1" t="s">
        <v>56</v>
      </c>
      <c r="BN190" s="1" t="s">
        <v>56</v>
      </c>
      <c r="BO190" s="1" t="s">
        <v>56</v>
      </c>
      <c r="BP190" s="1" t="s">
        <v>56</v>
      </c>
      <c r="BQ190" s="1" t="s">
        <v>56</v>
      </c>
      <c r="BR190" s="1" t="s">
        <v>56</v>
      </c>
      <c r="BS190" s="1" t="s">
        <v>56</v>
      </c>
      <c r="BT190" s="1" t="s">
        <v>56</v>
      </c>
      <c r="BU190" s="1" t="s">
        <v>56</v>
      </c>
      <c r="BV190" s="1" t="s">
        <v>55</v>
      </c>
      <c r="BW190" s="1" t="s">
        <v>55</v>
      </c>
      <c r="BX190" s="1" t="s">
        <v>55</v>
      </c>
      <c r="BY190" s="1" t="s">
        <v>55</v>
      </c>
      <c r="BZ190" s="1" t="s">
        <v>52</v>
      </c>
      <c r="CA190" s="1" t="s">
        <v>53</v>
      </c>
    </row>
    <row r="191" spans="1:81" x14ac:dyDescent="0.45">
      <c r="A191" s="3" t="s">
        <v>96</v>
      </c>
      <c r="B191" s="1">
        <v>1</v>
      </c>
      <c r="BL191" s="1" t="s">
        <v>49</v>
      </c>
      <c r="BM191" s="1" t="s">
        <v>56</v>
      </c>
      <c r="BN191" s="1" t="s">
        <v>56</v>
      </c>
      <c r="BO191" s="1" t="s">
        <v>56</v>
      </c>
      <c r="BP191" s="1" t="s">
        <v>56</v>
      </c>
      <c r="BQ191" s="1" t="s">
        <v>56</v>
      </c>
      <c r="BR191" s="1" t="s">
        <v>56</v>
      </c>
      <c r="BS191" s="1" t="s">
        <v>56</v>
      </c>
      <c r="BT191" s="1" t="s">
        <v>56</v>
      </c>
      <c r="BU191" s="1" t="s">
        <v>56</v>
      </c>
      <c r="BV191" s="1" t="s">
        <v>50</v>
      </c>
      <c r="BW191" s="1" t="s">
        <v>55</v>
      </c>
      <c r="BX191" s="1" t="s">
        <v>55</v>
      </c>
      <c r="BY191" s="1" t="s">
        <v>55</v>
      </c>
      <c r="BZ191" s="1" t="s">
        <v>55</v>
      </c>
      <c r="CA191" s="1" t="s">
        <v>52</v>
      </c>
      <c r="CB191" s="1" t="s">
        <v>53</v>
      </c>
    </row>
    <row r="192" spans="1:81" x14ac:dyDescent="0.45">
      <c r="A192" s="3" t="s">
        <v>38</v>
      </c>
      <c r="B192" s="1">
        <v>1</v>
      </c>
      <c r="BV192" s="1" t="s">
        <v>49</v>
      </c>
      <c r="BW192" s="1" t="s">
        <v>50</v>
      </c>
      <c r="BX192" s="1" t="s">
        <v>55</v>
      </c>
      <c r="BY192" s="1" t="s">
        <v>55</v>
      </c>
      <c r="BZ192" s="1" t="s">
        <v>55</v>
      </c>
      <c r="CA192" s="1" t="s">
        <v>55</v>
      </c>
      <c r="CB192" s="1" t="s">
        <v>52</v>
      </c>
      <c r="CC192" s="1" t="s">
        <v>53</v>
      </c>
    </row>
    <row r="193" spans="1:107" x14ac:dyDescent="0.45">
      <c r="A193" s="3" t="s">
        <v>97</v>
      </c>
      <c r="B193" s="1">
        <v>11</v>
      </c>
      <c r="BW193" s="1" t="s">
        <v>49</v>
      </c>
      <c r="BX193" s="1" t="s">
        <v>50</v>
      </c>
      <c r="BY193" s="1" t="s">
        <v>56</v>
      </c>
      <c r="BZ193" s="1" t="s">
        <v>56</v>
      </c>
      <c r="CA193" s="1" t="s">
        <v>57</v>
      </c>
      <c r="CB193" s="1" t="s">
        <v>57</v>
      </c>
      <c r="CC193" s="1" t="s">
        <v>57</v>
      </c>
      <c r="CD193" s="1" t="s">
        <v>57</v>
      </c>
      <c r="CE193" s="1" t="s">
        <v>57</v>
      </c>
      <c r="CF193" s="1" t="s">
        <v>57</v>
      </c>
      <c r="CG193" s="1" t="s">
        <v>57</v>
      </c>
      <c r="CH193" s="1" t="s">
        <v>57</v>
      </c>
      <c r="CI193" s="1" t="s">
        <v>57</v>
      </c>
      <c r="CJ193" s="1" t="s">
        <v>57</v>
      </c>
      <c r="CK193" s="1" t="s">
        <v>57</v>
      </c>
      <c r="CL193" s="1" t="s">
        <v>57</v>
      </c>
      <c r="CM193" s="1" t="s">
        <v>52</v>
      </c>
      <c r="CN193" s="1" t="s">
        <v>53</v>
      </c>
    </row>
    <row r="194" spans="1:107" x14ac:dyDescent="0.45">
      <c r="A194" s="3" t="s">
        <v>39</v>
      </c>
      <c r="B194" s="1">
        <v>0</v>
      </c>
      <c r="BX194" s="1" t="s">
        <v>49</v>
      </c>
      <c r="BY194" s="1" t="s">
        <v>56</v>
      </c>
      <c r="BZ194" s="1" t="s">
        <v>56</v>
      </c>
      <c r="CA194" s="1" t="s">
        <v>50</v>
      </c>
      <c r="CB194" s="1" t="s">
        <v>54</v>
      </c>
      <c r="CC194" s="1" t="s">
        <v>54</v>
      </c>
      <c r="CD194" s="1" t="s">
        <v>54</v>
      </c>
      <c r="CE194" s="1" t="s">
        <v>54</v>
      </c>
      <c r="CF194" s="1" t="s">
        <v>54</v>
      </c>
      <c r="CG194" s="1" t="s">
        <v>54</v>
      </c>
      <c r="CH194" s="1" t="s">
        <v>52</v>
      </c>
      <c r="CI194" s="1" t="s">
        <v>53</v>
      </c>
    </row>
    <row r="195" spans="1:107" x14ac:dyDescent="0.45">
      <c r="A195" s="3" t="s">
        <v>98</v>
      </c>
      <c r="B195" s="1">
        <v>4</v>
      </c>
      <c r="CA195" s="1" t="s">
        <v>49</v>
      </c>
      <c r="CB195" s="1" t="s">
        <v>50</v>
      </c>
      <c r="CC195" s="1" t="s">
        <v>56</v>
      </c>
      <c r="CD195" s="1" t="s">
        <v>56</v>
      </c>
      <c r="CE195" s="1" t="s">
        <v>56</v>
      </c>
      <c r="CF195" s="1" t="s">
        <v>56</v>
      </c>
      <c r="CG195" s="1" t="s">
        <v>56</v>
      </c>
      <c r="CH195" s="1" t="s">
        <v>56</v>
      </c>
      <c r="CI195" s="1" t="s">
        <v>56</v>
      </c>
      <c r="CJ195" s="1" t="s">
        <v>56</v>
      </c>
      <c r="CK195" s="1" t="s">
        <v>56</v>
      </c>
      <c r="CL195" s="1" t="s">
        <v>56</v>
      </c>
      <c r="CM195" s="1" t="s">
        <v>55</v>
      </c>
      <c r="CN195" s="1" t="s">
        <v>55</v>
      </c>
      <c r="CO195" s="1" t="s">
        <v>55</v>
      </c>
      <c r="CP195" s="1" t="s">
        <v>55</v>
      </c>
      <c r="CQ195" s="1" t="s">
        <v>52</v>
      </c>
      <c r="CR195" s="1" t="s">
        <v>53</v>
      </c>
    </row>
    <row r="196" spans="1:107" x14ac:dyDescent="0.45">
      <c r="A196" s="3" t="s">
        <v>34</v>
      </c>
      <c r="B196" s="1">
        <v>0</v>
      </c>
      <c r="CB196" s="1" t="s">
        <v>49</v>
      </c>
      <c r="CC196" s="1" t="s">
        <v>56</v>
      </c>
      <c r="CD196" s="1" t="s">
        <v>56</v>
      </c>
      <c r="CE196" s="1" t="s">
        <v>56</v>
      </c>
      <c r="CF196" s="1" t="s">
        <v>56</v>
      </c>
      <c r="CG196" s="1" t="s">
        <v>56</v>
      </c>
      <c r="CH196" s="1" t="s">
        <v>56</v>
      </c>
      <c r="CI196" s="1" t="s">
        <v>56</v>
      </c>
      <c r="CJ196" s="1" t="s">
        <v>56</v>
      </c>
      <c r="CK196" s="1" t="s">
        <v>56</v>
      </c>
      <c r="CL196" s="1" t="s">
        <v>56</v>
      </c>
      <c r="CM196" s="1" t="s">
        <v>50</v>
      </c>
      <c r="CN196" s="1" t="s">
        <v>51</v>
      </c>
      <c r="CO196" s="1" t="s">
        <v>52</v>
      </c>
      <c r="CP196" s="1" t="s">
        <v>53</v>
      </c>
    </row>
    <row r="197" spans="1:107" x14ac:dyDescent="0.45">
      <c r="A197" s="3" t="s">
        <v>37</v>
      </c>
      <c r="B197" s="1">
        <v>0</v>
      </c>
      <c r="CM197" s="1" t="s">
        <v>49</v>
      </c>
      <c r="CN197" s="1" t="s">
        <v>50</v>
      </c>
      <c r="CO197" s="1" t="s">
        <v>51</v>
      </c>
      <c r="CP197" s="1" t="s">
        <v>52</v>
      </c>
      <c r="CQ197" s="1" t="s">
        <v>53</v>
      </c>
    </row>
    <row r="198" spans="1:107" x14ac:dyDescent="0.45">
      <c r="A198" s="3" t="s">
        <v>40</v>
      </c>
      <c r="B198" s="1">
        <v>1</v>
      </c>
      <c r="CN198" s="1" t="s">
        <v>49</v>
      </c>
      <c r="CO198" s="1" t="s">
        <v>50</v>
      </c>
      <c r="CP198" s="1" t="s">
        <v>51</v>
      </c>
      <c r="CQ198" s="1" t="s">
        <v>56</v>
      </c>
      <c r="CR198" s="1" t="s">
        <v>52</v>
      </c>
      <c r="CS198" s="1" t="s">
        <v>53</v>
      </c>
    </row>
    <row r="199" spans="1:107" x14ac:dyDescent="0.45">
      <c r="A199" s="3" t="s">
        <v>99</v>
      </c>
      <c r="B199" s="1">
        <v>3</v>
      </c>
      <c r="CO199" s="1" t="s">
        <v>49</v>
      </c>
      <c r="CP199" s="1" t="s">
        <v>50</v>
      </c>
      <c r="CQ199" s="1" t="s">
        <v>55</v>
      </c>
      <c r="CR199" s="1" t="s">
        <v>55</v>
      </c>
      <c r="CS199" s="1" t="s">
        <v>55</v>
      </c>
      <c r="CT199" s="1" t="s">
        <v>55</v>
      </c>
      <c r="CU199" s="1" t="s">
        <v>52</v>
      </c>
      <c r="CV199" s="1" t="s">
        <v>53</v>
      </c>
    </row>
    <row r="200" spans="1:107" x14ac:dyDescent="0.45">
      <c r="A200" s="3" t="s">
        <v>100</v>
      </c>
      <c r="B200" s="1">
        <v>3</v>
      </c>
      <c r="CP200" s="1" t="s">
        <v>49</v>
      </c>
      <c r="CQ200" s="1" t="s">
        <v>50</v>
      </c>
      <c r="CR200" s="1" t="s">
        <v>54</v>
      </c>
      <c r="CS200" s="1" t="s">
        <v>54</v>
      </c>
      <c r="CT200" s="1" t="s">
        <v>54</v>
      </c>
      <c r="CU200" s="1" t="s">
        <v>54</v>
      </c>
      <c r="CV200" s="1" t="s">
        <v>54</v>
      </c>
      <c r="CW200" s="1" t="s">
        <v>54</v>
      </c>
      <c r="CX200" s="1" t="s">
        <v>52</v>
      </c>
      <c r="CY200" s="1" t="s">
        <v>53</v>
      </c>
    </row>
    <row r="202" spans="1:107" x14ac:dyDescent="0.45">
      <c r="A202" s="3" t="s">
        <v>101</v>
      </c>
      <c r="B202" s="1">
        <v>0</v>
      </c>
      <c r="CQ202" s="1" t="s">
        <v>49</v>
      </c>
      <c r="CR202" s="1" t="s">
        <v>50</v>
      </c>
      <c r="CS202" s="1" t="s">
        <v>51</v>
      </c>
      <c r="CT202" s="1" t="s">
        <v>52</v>
      </c>
      <c r="CU202" s="1" t="s">
        <v>53</v>
      </c>
    </row>
    <row r="203" spans="1:107" x14ac:dyDescent="0.45">
      <c r="A203" s="3" t="s">
        <v>102</v>
      </c>
      <c r="B203" s="1">
        <v>0</v>
      </c>
      <c r="CR203" s="1" t="s">
        <v>49</v>
      </c>
      <c r="CS203" s="1" t="s">
        <v>50</v>
      </c>
      <c r="CT203" s="1" t="s">
        <v>51</v>
      </c>
      <c r="CU203" s="1" t="s">
        <v>52</v>
      </c>
      <c r="CV203" s="1" t="s">
        <v>53</v>
      </c>
    </row>
    <row r="204" spans="1:107" x14ac:dyDescent="0.45">
      <c r="A204" s="3" t="s">
        <v>103</v>
      </c>
      <c r="B204" s="1">
        <v>1</v>
      </c>
      <c r="CS204" s="1" t="s">
        <v>49</v>
      </c>
      <c r="CT204" s="1" t="s">
        <v>50</v>
      </c>
      <c r="CU204" s="1" t="s">
        <v>56</v>
      </c>
      <c r="CV204" s="1" t="s">
        <v>56</v>
      </c>
      <c r="CW204" s="1" t="s">
        <v>56</v>
      </c>
      <c r="CX204" s="1" t="s">
        <v>51</v>
      </c>
      <c r="CY204" s="1" t="s">
        <v>52</v>
      </c>
      <c r="CZ204" s="1" t="s">
        <v>53</v>
      </c>
    </row>
    <row r="206" spans="1:107" x14ac:dyDescent="0.45">
      <c r="A206" s="3" t="s">
        <v>104</v>
      </c>
      <c r="B206" s="1">
        <v>1</v>
      </c>
      <c r="CT206" s="1" t="s">
        <v>49</v>
      </c>
      <c r="CU206" s="1" t="s">
        <v>56</v>
      </c>
      <c r="CV206" s="1" t="s">
        <v>56</v>
      </c>
      <c r="CW206" s="1" t="s">
        <v>56</v>
      </c>
      <c r="CX206" s="1" t="s">
        <v>50</v>
      </c>
      <c r="CY206" s="1" t="s">
        <v>51</v>
      </c>
      <c r="CZ206" s="1" t="s">
        <v>52</v>
      </c>
      <c r="DA206" s="1" t="s">
        <v>53</v>
      </c>
    </row>
    <row r="207" spans="1:107" x14ac:dyDescent="0.45">
      <c r="A207" s="3" t="s">
        <v>105</v>
      </c>
      <c r="B207" s="1">
        <v>1</v>
      </c>
      <c r="CX207" s="1" t="s">
        <v>49</v>
      </c>
      <c r="CY207" s="1" t="s">
        <v>50</v>
      </c>
      <c r="CZ207" s="1" t="s">
        <v>51</v>
      </c>
      <c r="DA207" s="1" t="s">
        <v>52</v>
      </c>
      <c r="DB207" s="1" t="s">
        <v>53</v>
      </c>
    </row>
    <row r="208" spans="1:107" x14ac:dyDescent="0.45">
      <c r="A208" s="3" t="s">
        <v>106</v>
      </c>
      <c r="B208" s="1">
        <v>1</v>
      </c>
      <c r="CY208" s="1" t="s">
        <v>49</v>
      </c>
      <c r="CZ208" s="1" t="s">
        <v>50</v>
      </c>
      <c r="DA208" s="1" t="s">
        <v>51</v>
      </c>
      <c r="DB208" s="1" t="s">
        <v>52</v>
      </c>
      <c r="DC208" s="1" t="s">
        <v>53</v>
      </c>
    </row>
    <row r="209" spans="1:114" x14ac:dyDescent="0.45">
      <c r="A209" s="3" t="s">
        <v>107</v>
      </c>
      <c r="B209" s="1">
        <v>1</v>
      </c>
      <c r="CZ209" s="1" t="s">
        <v>49</v>
      </c>
      <c r="DA209" s="1" t="s">
        <v>50</v>
      </c>
      <c r="DB209" s="1" t="s">
        <v>51</v>
      </c>
      <c r="DC209" s="1" t="s">
        <v>52</v>
      </c>
      <c r="DD209" s="1" t="s">
        <v>53</v>
      </c>
    </row>
    <row r="210" spans="1:114" x14ac:dyDescent="0.45">
      <c r="A210" s="3" t="s">
        <v>108</v>
      </c>
      <c r="B210" s="1">
        <v>1</v>
      </c>
      <c r="DA210" s="1" t="s">
        <v>49</v>
      </c>
      <c r="DB210" s="1" t="s">
        <v>50</v>
      </c>
      <c r="DC210" s="1" t="s">
        <v>51</v>
      </c>
      <c r="DD210" s="1" t="s">
        <v>52</v>
      </c>
      <c r="DE210" s="1" t="s">
        <v>53</v>
      </c>
    </row>
    <row r="211" spans="1:114" x14ac:dyDescent="0.45">
      <c r="A211" s="3" t="s">
        <v>109</v>
      </c>
      <c r="B211" s="1">
        <v>1</v>
      </c>
      <c r="DB211" s="1" t="s">
        <v>49</v>
      </c>
      <c r="DC211" s="1" t="s">
        <v>50</v>
      </c>
      <c r="DD211" s="1" t="s">
        <v>51</v>
      </c>
      <c r="DE211" s="1" t="s">
        <v>52</v>
      </c>
      <c r="DF211" s="1" t="s">
        <v>53</v>
      </c>
    </row>
    <row r="213" spans="1:114" x14ac:dyDescent="0.45">
      <c r="A213" s="3" t="s">
        <v>110</v>
      </c>
      <c r="B213" s="1">
        <v>1</v>
      </c>
      <c r="DC213" s="1" t="s">
        <v>49</v>
      </c>
      <c r="DD213" s="1" t="s">
        <v>50</v>
      </c>
      <c r="DE213" s="1" t="s">
        <v>51</v>
      </c>
      <c r="DF213" s="1" t="s">
        <v>52</v>
      </c>
      <c r="DG213" s="1" t="s">
        <v>53</v>
      </c>
    </row>
    <row r="215" spans="1:114" x14ac:dyDescent="0.45">
      <c r="A215" s="3" t="s">
        <v>111</v>
      </c>
      <c r="B215" s="1">
        <v>1</v>
      </c>
      <c r="DD215" s="1" t="s">
        <v>49</v>
      </c>
      <c r="DE215" s="1" t="s">
        <v>50</v>
      </c>
      <c r="DF215" s="1" t="s">
        <v>51</v>
      </c>
      <c r="DG215" s="1" t="s">
        <v>52</v>
      </c>
      <c r="DH215" s="1" t="s">
        <v>53</v>
      </c>
    </row>
    <row r="216" spans="1:114" x14ac:dyDescent="0.45">
      <c r="A216" s="3" t="s">
        <v>112</v>
      </c>
      <c r="B216" s="1">
        <v>2</v>
      </c>
      <c r="DE216" s="1" t="s">
        <v>49</v>
      </c>
      <c r="DF216" s="1" t="s">
        <v>50</v>
      </c>
      <c r="DG216" s="1" t="s">
        <v>56</v>
      </c>
      <c r="DH216" s="1" t="s">
        <v>51</v>
      </c>
      <c r="DI216" s="1" t="s">
        <v>52</v>
      </c>
      <c r="DJ216" s="1" t="s">
        <v>53</v>
      </c>
    </row>
    <row r="218" spans="1:114" x14ac:dyDescent="0.45">
      <c r="A218" s="3" t="s">
        <v>59</v>
      </c>
      <c r="B218" s="1">
        <f>SUM(B135:B152)</f>
        <v>28</v>
      </c>
    </row>
    <row r="219" spans="1:114" x14ac:dyDescent="0.45">
      <c r="A219" s="3" t="s">
        <v>113</v>
      </c>
      <c r="B219" s="1">
        <f>SUM(B154:B216)</f>
        <v>86</v>
      </c>
    </row>
    <row r="221" spans="1:114" x14ac:dyDescent="0.45">
      <c r="A221" s="3" t="s">
        <v>114</v>
      </c>
      <c r="B221" s="1">
        <f>B218+B219*16</f>
        <v>1404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TALLONE STEFANO</dc:creator>
  <cp:lastModifiedBy>TALLONE STEFANO</cp:lastModifiedBy>
  <dcterms:created xsi:type="dcterms:W3CDTF">2025-10-22T09:22:57Z</dcterms:created>
  <dcterms:modified xsi:type="dcterms:W3CDTF">2025-10-23T07:53:59Z</dcterms:modified>
</cp:coreProperties>
</file>