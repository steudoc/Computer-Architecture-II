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politoit-my.sharepoint.com/personal/s358440_studenti_polito_it/Documents/Desktop/Architetture dei Sistemi di Elaborazione/Lab/lab_04/"/>
    </mc:Choice>
  </mc:AlternateContent>
  <xr:revisionPtr revIDLastSave="2848" documentId="8_{C910F02A-FCD7-4C16-B68D-571140EAFA56}" xr6:coauthVersionLast="47" xr6:coauthVersionMax="47" xr10:uidLastSave="{A980F928-F035-4FC2-AB9D-AB880827C3DD}"/>
  <bookViews>
    <workbookView xWindow="-83" yWindow="0" windowWidth="10965" windowHeight="12863" xr2:uid="{8720DB75-096C-40FE-AAA0-34A6D4B4D695}"/>
  </bookViews>
  <sheets>
    <sheet name="Foglio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51" i="1" l="1"/>
  <c r="B149" i="1"/>
  <c r="B147" i="1"/>
  <c r="B152" i="1" s="1"/>
  <c r="B146" i="1"/>
  <c r="B92" i="1"/>
  <c r="B91" i="1"/>
  <c r="B90" i="1"/>
  <c r="B89" i="1"/>
  <c r="B42" i="1"/>
  <c r="B40" i="1"/>
  <c r="B45" i="1" s="1"/>
  <c r="B39" i="1"/>
  <c r="B154" i="1" l="1"/>
  <c r="B95" i="1"/>
  <c r="B97" i="1"/>
  <c r="B47" i="1"/>
</calcChain>
</file>

<file path=xl/sharedStrings.xml><?xml version="1.0" encoding="utf-8"?>
<sst xmlns="http://schemas.openxmlformats.org/spreadsheetml/2006/main" count="733" uniqueCount="63">
  <si>
    <t>flw f2, 0(x2)</t>
  </si>
  <si>
    <t>flw f3, 0(x3)</t>
  </si>
  <si>
    <t>fsw f5, 0(x5)</t>
  </si>
  <si>
    <t>la x2, i</t>
  </si>
  <si>
    <t xml:space="preserve">la x3, w </t>
  </si>
  <si>
    <t>la x4, b</t>
  </si>
  <si>
    <t xml:space="preserve">la x5, y </t>
  </si>
  <si>
    <t>la x6, zero</t>
  </si>
  <si>
    <t>li x7, 16</t>
  </si>
  <si>
    <t>li x8, 0</t>
  </si>
  <si>
    <t>li x9, 0xFF</t>
  </si>
  <si>
    <t>flw f1, 0(x6)</t>
  </si>
  <si>
    <t>fmul.s f6, f2, f3</t>
  </si>
  <si>
    <t>Main</t>
  </si>
  <si>
    <t>addi x2, x2, 4</t>
  </si>
  <si>
    <t>addi x3, x3, 4</t>
  </si>
  <si>
    <t>addi x8, x8, 1</t>
  </si>
  <si>
    <t>fadd.s f1, f1, f6</t>
  </si>
  <si>
    <t>blt x8, x7, Main</t>
  </si>
  <si>
    <t>flw f4, 0(x4)</t>
  </si>
  <si>
    <t>fadd.s f1, f1, f4</t>
  </si>
  <si>
    <t>check_exponent</t>
  </si>
  <si>
    <t>fmv.x.w x11, f1</t>
  </si>
  <si>
    <t xml:space="preserve">srli x12, x11, 23 </t>
  </si>
  <si>
    <t>andi x12, x12, 0xFF</t>
  </si>
  <si>
    <t>beq x12, x9, set_zero</t>
  </si>
  <si>
    <t>fmv.s f5, f1</t>
  </si>
  <si>
    <t>j store_result</t>
  </si>
  <si>
    <t>set_zero</t>
  </si>
  <si>
    <t>flw f5, 0(x6)</t>
  </si>
  <si>
    <t>store_result</t>
  </si>
  <si>
    <t>li a0, 0</t>
  </si>
  <si>
    <t>li a7, 93</t>
  </si>
  <si>
    <t>ecall</t>
  </si>
  <si>
    <t>F</t>
  </si>
  <si>
    <t>D</t>
  </si>
  <si>
    <t>E</t>
  </si>
  <si>
    <t>M</t>
  </si>
  <si>
    <t>W</t>
  </si>
  <si>
    <t>s</t>
  </si>
  <si>
    <t>A</t>
  </si>
  <si>
    <t>X</t>
  </si>
  <si>
    <t>1 la prima</t>
  </si>
  <si>
    <t>PROGRAM_1.S</t>
  </si>
  <si>
    <t>pre-loop</t>
  </si>
  <si>
    <t>loop</t>
  </si>
  <si>
    <t>primo loop</t>
  </si>
  <si>
    <t>post-loop</t>
  </si>
  <si>
    <t>numero cicli</t>
  </si>
  <si>
    <t>totale loop</t>
  </si>
  <si>
    <t>TOTALE</t>
  </si>
  <si>
    <t>PROGRAM_1_A.s</t>
  </si>
  <si>
    <t>PROGRAM_1_B.s</t>
  </si>
  <si>
    <t>flw f11, 0(x6)</t>
  </si>
  <si>
    <t>flw f12, 4(x2)</t>
  </si>
  <si>
    <t>flw f13, 4(x3)</t>
  </si>
  <si>
    <t>fmul.s f16, f12, f13</t>
  </si>
  <si>
    <t>fadd.s f11, f11, f16</t>
  </si>
  <si>
    <t>nop</t>
  </si>
  <si>
    <t>fadd.s f1, f1, f11</t>
  </si>
  <si>
    <t>addi x2, x2, 8</t>
  </si>
  <si>
    <t>addi x3, x3, 8</t>
  </si>
  <si>
    <t>li x7, 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</si>
</sst>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sz val="1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horizontal="center"/>
    </xf>
    <xf numFmtId="0" fontId="0" fillId="2" borderId="0" xfId="0" applyFill="1"/>
    <xf numFmtId="0" fontId="2" fillId="2" borderId="0" xfId="0" applyFont="1" applyFill="1"/>
    <xf numFmtId="0" fontId="0" fillId="2" borderId="0" xfId="0" applyFill="1" applyAlignment="1">
      <alignment horizontal="left"/>
    </xf>
    <xf numFmtId="0" fontId="0" fillId="0" borderId="0" xfId="0" applyAlignment="1"/>
  </cellXfs>
  <cellStyles count="1">
    <cellStyle name="Normale" xfId="0" builtinId="0"/>
  </cellStyles>
  <dxfs count="9">
    <dxf>
      <fill>
        <patternFill>
          <bgColor rgb="FFFF0000"/>
        </patternFill>
      </fill>
    </dxf>
    <dxf>
      <fill>
        <patternFill>
          <bgColor theme="5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theme="6" tint="0.39994506668294322"/>
        </patternFill>
      </fill>
    </dxf>
    <dxf>
      <fill>
        <patternFill>
          <bgColor rgb="FF00B0F0"/>
        </patternFill>
      </fill>
    </dxf>
    <dxf>
      <fill>
        <patternFill>
          <bgColor theme="2" tint="-0.24994659260841701"/>
        </patternFill>
      </fill>
    </dxf>
    <dxf>
      <fill>
        <patternFill>
          <bgColor rgb="FFFFC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D0F25B-4FD9-4BC3-9861-5E02FB617A5D}">
  <dimension ref="A1:AX154"/>
  <sheetViews>
    <sheetView tabSelected="1" topLeftCell="A132" workbookViewId="0">
      <pane xSplit="2" topLeftCell="AG1" activePane="topRight" state="frozen"/>
      <selection pane="topRight" activeCell="B143" sqref="B143"/>
    </sheetView>
  </sheetViews>
  <sheetFormatPr defaultColWidth="3.796875" defaultRowHeight="14.25" x14ac:dyDescent="0.45"/>
  <cols>
    <col min="1" max="1" width="17" bestFit="1" customWidth="1"/>
    <col min="2" max="16384" width="3.796875" style="1"/>
  </cols>
  <sheetData>
    <row r="1" spans="1:28" x14ac:dyDescent="0.45">
      <c r="A1" s="3" t="s">
        <v>43</v>
      </c>
    </row>
    <row r="2" spans="1:28" x14ac:dyDescent="0.45">
      <c r="A2" t="s">
        <v>3</v>
      </c>
      <c r="B2" s="1">
        <v>9</v>
      </c>
      <c r="C2" s="1" t="s">
        <v>34</v>
      </c>
      <c r="D2" s="1" t="s">
        <v>39</v>
      </c>
      <c r="E2" s="1" t="s">
        <v>39</v>
      </c>
      <c r="F2" s="1" t="s">
        <v>39</v>
      </c>
      <c r="G2" s="1" t="s">
        <v>35</v>
      </c>
      <c r="H2" s="1" t="s">
        <v>36</v>
      </c>
      <c r="I2" s="1" t="s">
        <v>37</v>
      </c>
      <c r="J2" s="1" t="s">
        <v>38</v>
      </c>
    </row>
    <row r="3" spans="1:28" x14ac:dyDescent="0.45">
      <c r="A3" t="s">
        <v>4</v>
      </c>
      <c r="B3" s="1">
        <v>2</v>
      </c>
    </row>
    <row r="4" spans="1:28" x14ac:dyDescent="0.45">
      <c r="A4" t="s">
        <v>5</v>
      </c>
      <c r="B4" s="1">
        <v>2</v>
      </c>
    </row>
    <row r="5" spans="1:28" x14ac:dyDescent="0.45">
      <c r="A5" t="s">
        <v>6</v>
      </c>
      <c r="B5" s="1">
        <v>2</v>
      </c>
    </row>
    <row r="6" spans="1:28" x14ac:dyDescent="0.45">
      <c r="A6" t="s">
        <v>7</v>
      </c>
      <c r="B6" s="1">
        <v>2</v>
      </c>
      <c r="F6" s="1" t="s">
        <v>38</v>
      </c>
    </row>
    <row r="7" spans="1:28" x14ac:dyDescent="0.45">
      <c r="A7" t="s">
        <v>8</v>
      </c>
      <c r="B7" s="1">
        <v>1</v>
      </c>
      <c r="C7" s="1" t="s">
        <v>34</v>
      </c>
      <c r="D7" s="1" t="s">
        <v>35</v>
      </c>
      <c r="E7" s="1" t="s">
        <v>36</v>
      </c>
      <c r="F7" s="1" t="s">
        <v>37</v>
      </c>
      <c r="G7" s="1" t="s">
        <v>38</v>
      </c>
    </row>
    <row r="8" spans="1:28" x14ac:dyDescent="0.45">
      <c r="A8" t="s">
        <v>9</v>
      </c>
      <c r="B8" s="1">
        <v>1</v>
      </c>
      <c r="D8" s="1" t="s">
        <v>34</v>
      </c>
      <c r="E8" s="1" t="s">
        <v>35</v>
      </c>
      <c r="F8" s="1" t="s">
        <v>36</v>
      </c>
      <c r="G8" s="1" t="s">
        <v>37</v>
      </c>
      <c r="H8" s="1" t="s">
        <v>38</v>
      </c>
    </row>
    <row r="9" spans="1:28" x14ac:dyDescent="0.45">
      <c r="A9" t="s">
        <v>10</v>
      </c>
      <c r="B9" s="1">
        <v>1</v>
      </c>
      <c r="E9" s="1" t="s">
        <v>34</v>
      </c>
      <c r="F9" s="1" t="s">
        <v>35</v>
      </c>
      <c r="G9" s="1" t="s">
        <v>36</v>
      </c>
      <c r="H9" s="1" t="s">
        <v>37</v>
      </c>
      <c r="I9" s="1" t="s">
        <v>38</v>
      </c>
    </row>
    <row r="10" spans="1:28" x14ac:dyDescent="0.45">
      <c r="A10" t="s">
        <v>11</v>
      </c>
      <c r="B10" s="1">
        <v>1</v>
      </c>
      <c r="F10" s="1" t="s">
        <v>34</v>
      </c>
      <c r="G10" s="1" t="s">
        <v>35</v>
      </c>
      <c r="H10" s="1" t="s">
        <v>36</v>
      </c>
      <c r="I10" s="1" t="s">
        <v>37</v>
      </c>
      <c r="J10" s="1" t="s">
        <v>38</v>
      </c>
    </row>
    <row r="11" spans="1:28" x14ac:dyDescent="0.45">
      <c r="A11" s="2" t="s">
        <v>13</v>
      </c>
    </row>
    <row r="12" spans="1:28" x14ac:dyDescent="0.45">
      <c r="A12" t="s">
        <v>0</v>
      </c>
      <c r="B12" s="1">
        <v>2</v>
      </c>
      <c r="C12" s="4" t="s">
        <v>42</v>
      </c>
      <c r="G12" s="1" t="s">
        <v>34</v>
      </c>
      <c r="H12" s="1" t="s">
        <v>35</v>
      </c>
      <c r="I12" s="1" t="s">
        <v>36</v>
      </c>
      <c r="J12" s="1" t="s">
        <v>37</v>
      </c>
      <c r="K12" s="1" t="s">
        <v>38</v>
      </c>
      <c r="X12" s="1" t="s">
        <v>34</v>
      </c>
      <c r="Y12" s="1" t="s">
        <v>35</v>
      </c>
      <c r="Z12" s="1" t="s">
        <v>36</v>
      </c>
      <c r="AA12" s="1" t="s">
        <v>37</v>
      </c>
      <c r="AB12" s="1" t="s">
        <v>38</v>
      </c>
    </row>
    <row r="13" spans="1:28" x14ac:dyDescent="0.45">
      <c r="A13" t="s">
        <v>1</v>
      </c>
      <c r="B13" s="1">
        <v>1</v>
      </c>
      <c r="H13" s="1" t="s">
        <v>34</v>
      </c>
      <c r="I13" s="1" t="s">
        <v>35</v>
      </c>
      <c r="J13" s="1" t="s">
        <v>36</v>
      </c>
      <c r="K13" s="1" t="s">
        <v>37</v>
      </c>
      <c r="L13" s="1" t="s">
        <v>38</v>
      </c>
    </row>
    <row r="14" spans="1:28" x14ac:dyDescent="0.45">
      <c r="A14" t="s">
        <v>12</v>
      </c>
      <c r="B14" s="1">
        <v>8</v>
      </c>
      <c r="I14" s="1" t="s">
        <v>34</v>
      </c>
      <c r="J14" s="1" t="s">
        <v>35</v>
      </c>
      <c r="K14" s="1" t="s">
        <v>41</v>
      </c>
      <c r="L14" s="1" t="s">
        <v>41</v>
      </c>
      <c r="M14" s="1" t="s">
        <v>41</v>
      </c>
      <c r="N14" s="1" t="s">
        <v>41</v>
      </c>
      <c r="O14" s="1" t="s">
        <v>41</v>
      </c>
      <c r="P14" s="1" t="s">
        <v>41</v>
      </c>
      <c r="Q14" s="1" t="s">
        <v>41</v>
      </c>
      <c r="R14" s="1" t="s">
        <v>41</v>
      </c>
      <c r="S14" s="1" t="s">
        <v>37</v>
      </c>
      <c r="T14" s="1" t="s">
        <v>38</v>
      </c>
    </row>
    <row r="15" spans="1:28" x14ac:dyDescent="0.45">
      <c r="A15" t="s">
        <v>17</v>
      </c>
      <c r="B15" s="1">
        <v>4</v>
      </c>
      <c r="J15" s="1" t="s">
        <v>34</v>
      </c>
      <c r="K15" s="1" t="s">
        <v>35</v>
      </c>
      <c r="L15" s="1" t="s">
        <v>39</v>
      </c>
      <c r="M15" s="1" t="s">
        <v>39</v>
      </c>
      <c r="N15" s="1" t="s">
        <v>39</v>
      </c>
      <c r="O15" s="1" t="s">
        <v>39</v>
      </c>
      <c r="P15" s="1" t="s">
        <v>39</v>
      </c>
      <c r="Q15" s="1" t="s">
        <v>39</v>
      </c>
      <c r="R15" s="1" t="s">
        <v>39</v>
      </c>
      <c r="S15" s="1" t="s">
        <v>40</v>
      </c>
      <c r="T15" s="1" t="s">
        <v>40</v>
      </c>
      <c r="U15" s="1" t="s">
        <v>40</v>
      </c>
      <c r="V15" s="1" t="s">
        <v>40</v>
      </c>
      <c r="W15" s="1" t="s">
        <v>37</v>
      </c>
      <c r="X15" s="1" t="s">
        <v>38</v>
      </c>
    </row>
    <row r="16" spans="1:28" x14ac:dyDescent="0.45">
      <c r="A16" t="s">
        <v>14</v>
      </c>
      <c r="B16" s="1">
        <v>0</v>
      </c>
      <c r="C16"/>
      <c r="D16"/>
      <c r="K16" s="1" t="s">
        <v>34</v>
      </c>
      <c r="L16" s="1" t="s">
        <v>39</v>
      </c>
      <c r="M16" s="1" t="s">
        <v>39</v>
      </c>
      <c r="N16" s="1" t="s">
        <v>39</v>
      </c>
      <c r="O16" s="1" t="s">
        <v>39</v>
      </c>
      <c r="P16" s="1" t="s">
        <v>39</v>
      </c>
      <c r="Q16" s="1" t="s">
        <v>39</v>
      </c>
      <c r="R16" s="1" t="s">
        <v>39</v>
      </c>
      <c r="S16" s="1" t="s">
        <v>35</v>
      </c>
      <c r="T16" s="1" t="s">
        <v>36</v>
      </c>
      <c r="U16" s="1" t="s">
        <v>37</v>
      </c>
      <c r="V16" s="1" t="s">
        <v>38</v>
      </c>
    </row>
    <row r="17" spans="1:26" x14ac:dyDescent="0.45">
      <c r="A17" t="s">
        <v>15</v>
      </c>
      <c r="B17" s="1">
        <v>0</v>
      </c>
      <c r="C17"/>
      <c r="D17"/>
      <c r="S17" s="1" t="s">
        <v>34</v>
      </c>
      <c r="T17" s="1" t="s">
        <v>35</v>
      </c>
      <c r="U17" s="1" t="s">
        <v>36</v>
      </c>
      <c r="V17" s="1" t="s">
        <v>37</v>
      </c>
      <c r="W17" s="1" t="s">
        <v>38</v>
      </c>
    </row>
    <row r="18" spans="1:26" x14ac:dyDescent="0.45">
      <c r="A18" t="s">
        <v>16</v>
      </c>
      <c r="B18" s="1">
        <v>1</v>
      </c>
      <c r="C18"/>
      <c r="D18"/>
      <c r="T18" s="1" t="s">
        <v>34</v>
      </c>
      <c r="U18" s="1" t="s">
        <v>35</v>
      </c>
      <c r="V18" s="1" t="s">
        <v>36</v>
      </c>
      <c r="W18" s="1" t="s">
        <v>39</v>
      </c>
      <c r="X18" s="1" t="s">
        <v>37</v>
      </c>
      <c r="Y18" s="1" t="s">
        <v>38</v>
      </c>
    </row>
    <row r="19" spans="1:26" x14ac:dyDescent="0.45">
      <c r="A19" t="s">
        <v>18</v>
      </c>
      <c r="B19" s="1">
        <v>1</v>
      </c>
      <c r="C19"/>
      <c r="D19"/>
      <c r="U19" s="1" t="s">
        <v>34</v>
      </c>
      <c r="V19" s="1" t="s">
        <v>35</v>
      </c>
      <c r="W19" s="1" t="s">
        <v>39</v>
      </c>
      <c r="X19" s="1" t="s">
        <v>36</v>
      </c>
      <c r="Y19" s="1" t="s">
        <v>37</v>
      </c>
      <c r="Z19" s="1" t="s">
        <v>38</v>
      </c>
    </row>
    <row r="20" spans="1:26" x14ac:dyDescent="0.45">
      <c r="C20"/>
      <c r="D20"/>
    </row>
    <row r="21" spans="1:26" x14ac:dyDescent="0.45">
      <c r="A21" t="s">
        <v>19</v>
      </c>
      <c r="B21" s="1">
        <v>1</v>
      </c>
      <c r="C21" s="1" t="s">
        <v>34</v>
      </c>
      <c r="D21" s="1" t="s">
        <v>35</v>
      </c>
      <c r="E21" s="1" t="s">
        <v>36</v>
      </c>
      <c r="F21" s="1" t="s">
        <v>37</v>
      </c>
      <c r="G21" s="1" t="s">
        <v>38</v>
      </c>
      <c r="V21" s="1" t="s">
        <v>34</v>
      </c>
      <c r="W21" s="1" t="s">
        <v>39</v>
      </c>
    </row>
    <row r="22" spans="1:26" x14ac:dyDescent="0.45">
      <c r="A22" t="s">
        <v>20</v>
      </c>
      <c r="B22" s="1">
        <v>4</v>
      </c>
      <c r="D22" s="1" t="s">
        <v>34</v>
      </c>
      <c r="E22" s="1" t="s">
        <v>35</v>
      </c>
      <c r="F22" s="1" t="s">
        <v>40</v>
      </c>
      <c r="G22" s="1" t="s">
        <v>40</v>
      </c>
      <c r="H22" s="1" t="s">
        <v>40</v>
      </c>
      <c r="I22" s="1" t="s">
        <v>40</v>
      </c>
      <c r="J22" s="1" t="s">
        <v>37</v>
      </c>
      <c r="K22" s="1" t="s">
        <v>38</v>
      </c>
    </row>
    <row r="23" spans="1:26" x14ac:dyDescent="0.45">
      <c r="A23" s="2" t="s">
        <v>21</v>
      </c>
    </row>
    <row r="24" spans="1:26" x14ac:dyDescent="0.45">
      <c r="A24" t="s">
        <v>22</v>
      </c>
      <c r="B24" s="1">
        <v>4</v>
      </c>
      <c r="E24" s="1" t="s">
        <v>34</v>
      </c>
      <c r="F24" s="1" t="s">
        <v>35</v>
      </c>
      <c r="G24" s="1" t="s">
        <v>39</v>
      </c>
      <c r="H24" s="1" t="s">
        <v>39</v>
      </c>
      <c r="I24" s="1" t="s">
        <v>39</v>
      </c>
      <c r="J24" s="1" t="s">
        <v>40</v>
      </c>
      <c r="K24" s="1" t="s">
        <v>40</v>
      </c>
      <c r="L24" s="1" t="s">
        <v>40</v>
      </c>
      <c r="M24" s="1" t="s">
        <v>40</v>
      </c>
      <c r="N24" s="1" t="s">
        <v>37</v>
      </c>
      <c r="O24" s="1" t="s">
        <v>38</v>
      </c>
    </row>
    <row r="25" spans="1:26" x14ac:dyDescent="0.45">
      <c r="A25" t="s">
        <v>23</v>
      </c>
      <c r="B25" s="1">
        <v>1</v>
      </c>
      <c r="F25" s="1" t="s">
        <v>34</v>
      </c>
      <c r="G25" s="1" t="s">
        <v>39</v>
      </c>
      <c r="H25" s="1" t="s">
        <v>39</v>
      </c>
      <c r="I25" s="1" t="s">
        <v>39</v>
      </c>
      <c r="J25" s="1" t="s">
        <v>35</v>
      </c>
      <c r="K25" s="1" t="s">
        <v>39</v>
      </c>
      <c r="L25" s="1" t="s">
        <v>39</v>
      </c>
      <c r="M25" s="1" t="s">
        <v>39</v>
      </c>
      <c r="N25" s="1" t="s">
        <v>36</v>
      </c>
      <c r="O25" s="1" t="s">
        <v>37</v>
      </c>
      <c r="P25" s="1" t="s">
        <v>38</v>
      </c>
    </row>
    <row r="26" spans="1:26" x14ac:dyDescent="0.45">
      <c r="A26" t="s">
        <v>24</v>
      </c>
      <c r="B26" s="1">
        <v>1</v>
      </c>
      <c r="J26" s="1" t="s">
        <v>34</v>
      </c>
      <c r="K26" s="1" t="s">
        <v>39</v>
      </c>
      <c r="L26" s="1" t="s">
        <v>39</v>
      </c>
      <c r="M26" s="1" t="s">
        <v>39</v>
      </c>
      <c r="N26" s="1" t="s">
        <v>35</v>
      </c>
      <c r="O26" s="1" t="s">
        <v>36</v>
      </c>
      <c r="P26" s="1" t="s">
        <v>37</v>
      </c>
      <c r="Q26" s="1" t="s">
        <v>38</v>
      </c>
    </row>
    <row r="27" spans="1:26" x14ac:dyDescent="0.45">
      <c r="A27" t="s">
        <v>25</v>
      </c>
      <c r="B27" s="1">
        <v>1</v>
      </c>
      <c r="N27" s="1" t="s">
        <v>34</v>
      </c>
      <c r="O27" s="1" t="s">
        <v>35</v>
      </c>
      <c r="P27" s="1" t="s">
        <v>36</v>
      </c>
      <c r="Q27" s="1" t="s">
        <v>37</v>
      </c>
      <c r="R27" s="1" t="s">
        <v>38</v>
      </c>
    </row>
    <row r="28" spans="1:26" x14ac:dyDescent="0.45">
      <c r="A28" t="s">
        <v>26</v>
      </c>
      <c r="B28" s="1">
        <v>4</v>
      </c>
      <c r="O28" s="1" t="s">
        <v>34</v>
      </c>
      <c r="P28" s="1" t="s">
        <v>35</v>
      </c>
      <c r="Q28" s="1" t="s">
        <v>40</v>
      </c>
      <c r="R28" s="1" t="s">
        <v>40</v>
      </c>
      <c r="S28" s="1" t="s">
        <v>40</v>
      </c>
      <c r="T28" s="1" t="s">
        <v>40</v>
      </c>
      <c r="U28" s="1" t="s">
        <v>37</v>
      </c>
      <c r="V28" s="1" t="s">
        <v>38</v>
      </c>
    </row>
    <row r="29" spans="1:26" x14ac:dyDescent="0.45">
      <c r="A29" t="s">
        <v>27</v>
      </c>
      <c r="B29" s="1">
        <v>0</v>
      </c>
      <c r="P29" s="1" t="s">
        <v>34</v>
      </c>
      <c r="Q29" s="1" t="s">
        <v>35</v>
      </c>
      <c r="R29" s="1" t="s">
        <v>36</v>
      </c>
      <c r="S29" s="1" t="s">
        <v>37</v>
      </c>
      <c r="T29" s="1" t="s">
        <v>38</v>
      </c>
    </row>
    <row r="30" spans="1:26" x14ac:dyDescent="0.45">
      <c r="A30" s="2" t="s">
        <v>28</v>
      </c>
    </row>
    <row r="31" spans="1:26" x14ac:dyDescent="0.45">
      <c r="A31" t="s">
        <v>29</v>
      </c>
      <c r="B31" s="1">
        <v>0</v>
      </c>
      <c r="Q31" s="1" t="s">
        <v>34</v>
      </c>
    </row>
    <row r="32" spans="1:26" x14ac:dyDescent="0.45">
      <c r="A32" s="2" t="s">
        <v>30</v>
      </c>
    </row>
    <row r="33" spans="1:24" x14ac:dyDescent="0.45">
      <c r="A33" t="s">
        <v>2</v>
      </c>
      <c r="B33" s="1">
        <v>1</v>
      </c>
      <c r="R33" s="1" t="s">
        <v>34</v>
      </c>
      <c r="S33" s="1" t="s">
        <v>35</v>
      </c>
      <c r="T33" s="1" t="s">
        <v>36</v>
      </c>
      <c r="U33" s="1" t="s">
        <v>39</v>
      </c>
      <c r="V33" s="1" t="s">
        <v>37</v>
      </c>
      <c r="W33" s="1" t="s">
        <v>38</v>
      </c>
    </row>
    <row r="35" spans="1:24" x14ac:dyDescent="0.45">
      <c r="A35" t="s">
        <v>31</v>
      </c>
      <c r="B35" s="1">
        <v>1</v>
      </c>
      <c r="S35" s="1" t="s">
        <v>34</v>
      </c>
      <c r="T35" s="1" t="s">
        <v>35</v>
      </c>
      <c r="U35" s="1" t="s">
        <v>39</v>
      </c>
      <c r="V35" s="1" t="s">
        <v>36</v>
      </c>
      <c r="W35" s="1" t="s">
        <v>37</v>
      </c>
      <c r="X35" s="1" t="s">
        <v>38</v>
      </c>
    </row>
    <row r="36" spans="1:24" x14ac:dyDescent="0.45">
      <c r="A36" t="s">
        <v>32</v>
      </c>
      <c r="T36" s="1" t="s">
        <v>34</v>
      </c>
      <c r="U36" s="1" t="s">
        <v>39</v>
      </c>
      <c r="V36" s="1" t="s">
        <v>35</v>
      </c>
      <c r="W36" s="1" t="s">
        <v>36</v>
      </c>
      <c r="X36" s="1" t="s">
        <v>37</v>
      </c>
    </row>
    <row r="37" spans="1:24" x14ac:dyDescent="0.45">
      <c r="A37" t="s">
        <v>33</v>
      </c>
      <c r="V37" s="1" t="s">
        <v>34</v>
      </c>
      <c r="W37" s="1" t="s">
        <v>35</v>
      </c>
      <c r="X37" s="1" t="s">
        <v>36</v>
      </c>
    </row>
    <row r="38" spans="1:24" x14ac:dyDescent="0.45">
      <c r="W38" s="1" t="s">
        <v>34</v>
      </c>
      <c r="X38" s="1" t="s">
        <v>35</v>
      </c>
    </row>
    <row r="39" spans="1:24" x14ac:dyDescent="0.45">
      <c r="A39" t="s">
        <v>44</v>
      </c>
      <c r="B39" s="1">
        <f>SUM(B2:B10)</f>
        <v>21</v>
      </c>
    </row>
    <row r="40" spans="1:24" x14ac:dyDescent="0.45">
      <c r="A40" t="s">
        <v>45</v>
      </c>
      <c r="B40" s="1">
        <f>SUM(B12:B19)</f>
        <v>17</v>
      </c>
    </row>
    <row r="41" spans="1:24" x14ac:dyDescent="0.45">
      <c r="A41" t="s">
        <v>46</v>
      </c>
      <c r="B41" s="1">
        <v>-1</v>
      </c>
    </row>
    <row r="42" spans="1:24" x14ac:dyDescent="0.45">
      <c r="A42" t="s">
        <v>47</v>
      </c>
      <c r="B42" s="1">
        <f>SUM(B21:B37)</f>
        <v>18</v>
      </c>
    </row>
    <row r="44" spans="1:24" x14ac:dyDescent="0.45">
      <c r="A44" t="s">
        <v>48</v>
      </c>
      <c r="B44" s="1">
        <v>16</v>
      </c>
    </row>
    <row r="45" spans="1:24" x14ac:dyDescent="0.45">
      <c r="A45" t="s">
        <v>49</v>
      </c>
      <c r="B45" s="1">
        <f>B40*B44+B41</f>
        <v>271</v>
      </c>
    </row>
    <row r="47" spans="1:24" x14ac:dyDescent="0.45">
      <c r="A47" t="s">
        <v>50</v>
      </c>
      <c r="B47" s="1">
        <f>SUM(B39,B42,B45)</f>
        <v>310</v>
      </c>
    </row>
    <row r="51" spans="1:25" x14ac:dyDescent="0.45">
      <c r="A51" s="3" t="s">
        <v>51</v>
      </c>
    </row>
    <row r="52" spans="1:25" x14ac:dyDescent="0.45">
      <c r="A52" t="s">
        <v>3</v>
      </c>
      <c r="B52" s="1">
        <v>9</v>
      </c>
      <c r="C52" s="1" t="s">
        <v>34</v>
      </c>
      <c r="D52" s="1" t="s">
        <v>39</v>
      </c>
      <c r="E52" s="1" t="s">
        <v>39</v>
      </c>
      <c r="F52" s="1" t="s">
        <v>39</v>
      </c>
      <c r="G52" s="1" t="s">
        <v>35</v>
      </c>
      <c r="H52" s="1" t="s">
        <v>36</v>
      </c>
      <c r="I52" s="1" t="s">
        <v>37</v>
      </c>
      <c r="J52" s="1" t="s">
        <v>38</v>
      </c>
    </row>
    <row r="53" spans="1:25" x14ac:dyDescent="0.45">
      <c r="A53" t="s">
        <v>4</v>
      </c>
      <c r="B53" s="1">
        <v>2</v>
      </c>
      <c r="G53" s="1" t="s">
        <v>34</v>
      </c>
      <c r="H53" s="1" t="s">
        <v>35</v>
      </c>
      <c r="I53" s="1" t="s">
        <v>36</v>
      </c>
      <c r="J53" s="1" t="s">
        <v>37</v>
      </c>
      <c r="K53" s="1" t="s">
        <v>38</v>
      </c>
    </row>
    <row r="54" spans="1:25" x14ac:dyDescent="0.45">
      <c r="A54" t="s">
        <v>5</v>
      </c>
      <c r="B54" s="1">
        <v>2</v>
      </c>
    </row>
    <row r="55" spans="1:25" x14ac:dyDescent="0.45">
      <c r="A55" t="s">
        <v>6</v>
      </c>
      <c r="B55" s="1">
        <v>2</v>
      </c>
    </row>
    <row r="56" spans="1:25" x14ac:dyDescent="0.45">
      <c r="A56" t="s">
        <v>7</v>
      </c>
      <c r="B56" s="1">
        <v>2</v>
      </c>
    </row>
    <row r="57" spans="1:25" x14ac:dyDescent="0.45">
      <c r="A57" t="s">
        <v>8</v>
      </c>
      <c r="B57" s="1">
        <v>1</v>
      </c>
      <c r="C57" s="1" t="s">
        <v>34</v>
      </c>
      <c r="D57" s="1" t="s">
        <v>35</v>
      </c>
      <c r="E57" s="1" t="s">
        <v>36</v>
      </c>
      <c r="F57" s="1" t="s">
        <v>37</v>
      </c>
      <c r="G57" s="1" t="s">
        <v>38</v>
      </c>
    </row>
    <row r="58" spans="1:25" x14ac:dyDescent="0.45">
      <c r="A58" t="s">
        <v>9</v>
      </c>
      <c r="B58" s="1">
        <v>1</v>
      </c>
      <c r="D58" s="1" t="s">
        <v>34</v>
      </c>
      <c r="E58" s="1" t="s">
        <v>35</v>
      </c>
      <c r="F58" s="1" t="s">
        <v>36</v>
      </c>
      <c r="G58" s="1" t="s">
        <v>37</v>
      </c>
      <c r="H58" s="1" t="s">
        <v>38</v>
      </c>
    </row>
    <row r="59" spans="1:25" x14ac:dyDescent="0.45">
      <c r="A59" t="s">
        <v>10</v>
      </c>
      <c r="B59" s="1">
        <v>1</v>
      </c>
      <c r="E59" s="1" t="s">
        <v>34</v>
      </c>
      <c r="F59" s="1" t="s">
        <v>35</v>
      </c>
      <c r="G59" s="1" t="s">
        <v>36</v>
      </c>
      <c r="H59" s="1" t="s">
        <v>37</v>
      </c>
      <c r="I59" s="1" t="s">
        <v>38</v>
      </c>
    </row>
    <row r="60" spans="1:25" x14ac:dyDescent="0.45">
      <c r="A60" t="s">
        <v>11</v>
      </c>
      <c r="B60" s="1">
        <v>1</v>
      </c>
      <c r="F60" s="1" t="s">
        <v>34</v>
      </c>
      <c r="G60" s="1" t="s">
        <v>35</v>
      </c>
      <c r="H60" s="1" t="s">
        <v>36</v>
      </c>
      <c r="I60" s="1" t="s">
        <v>37</v>
      </c>
      <c r="J60" s="1" t="s">
        <v>38</v>
      </c>
    </row>
    <row r="61" spans="1:25" x14ac:dyDescent="0.45">
      <c r="A61" s="2" t="s">
        <v>13</v>
      </c>
    </row>
    <row r="62" spans="1:25" x14ac:dyDescent="0.45">
      <c r="A62" t="s">
        <v>0</v>
      </c>
      <c r="B62" s="1">
        <v>2</v>
      </c>
      <c r="G62" s="1" t="s">
        <v>34</v>
      </c>
      <c r="H62" s="1" t="s">
        <v>35</v>
      </c>
      <c r="I62" s="1" t="s">
        <v>36</v>
      </c>
      <c r="J62" s="1" t="s">
        <v>37</v>
      </c>
      <c r="K62" s="1" t="s">
        <v>38</v>
      </c>
      <c r="T62" s="1" t="s">
        <v>34</v>
      </c>
      <c r="U62" s="1" t="s">
        <v>35</v>
      </c>
      <c r="V62" s="1" t="s">
        <v>36</v>
      </c>
      <c r="W62" s="1" t="s">
        <v>37</v>
      </c>
      <c r="X62" s="1" t="s">
        <v>38</v>
      </c>
    </row>
    <row r="63" spans="1:25" x14ac:dyDescent="0.45">
      <c r="A63" t="s">
        <v>1</v>
      </c>
      <c r="B63" s="1">
        <v>1</v>
      </c>
      <c r="H63" s="1" t="s">
        <v>34</v>
      </c>
      <c r="I63" s="1" t="s">
        <v>35</v>
      </c>
      <c r="J63" s="1" t="s">
        <v>36</v>
      </c>
      <c r="K63" s="1" t="s">
        <v>37</v>
      </c>
      <c r="L63" s="1" t="s">
        <v>38</v>
      </c>
      <c r="U63" s="1" t="s">
        <v>34</v>
      </c>
      <c r="V63" s="1" t="s">
        <v>35</v>
      </c>
      <c r="W63" s="1" t="s">
        <v>36</v>
      </c>
      <c r="X63" s="1" t="s">
        <v>37</v>
      </c>
      <c r="Y63" s="1" t="s">
        <v>38</v>
      </c>
    </row>
    <row r="64" spans="1:25" x14ac:dyDescent="0.45">
      <c r="A64" t="s">
        <v>12</v>
      </c>
      <c r="B64" s="1">
        <v>8</v>
      </c>
      <c r="I64" s="1" t="s">
        <v>34</v>
      </c>
      <c r="J64" s="1" t="s">
        <v>35</v>
      </c>
      <c r="K64" s="1" t="s">
        <v>41</v>
      </c>
      <c r="L64" s="1" t="s">
        <v>41</v>
      </c>
      <c r="M64" s="1" t="s">
        <v>41</v>
      </c>
      <c r="N64" s="1" t="s">
        <v>41</v>
      </c>
      <c r="O64" s="1" t="s">
        <v>41</v>
      </c>
      <c r="P64" s="1" t="s">
        <v>41</v>
      </c>
      <c r="Q64" s="1" t="s">
        <v>41</v>
      </c>
      <c r="R64" s="1" t="s">
        <v>41</v>
      </c>
      <c r="S64" s="1" t="s">
        <v>37</v>
      </c>
      <c r="T64" s="1" t="s">
        <v>38</v>
      </c>
    </row>
    <row r="65" spans="1:22" x14ac:dyDescent="0.45">
      <c r="A65" t="s">
        <v>14</v>
      </c>
      <c r="B65" s="1">
        <v>0</v>
      </c>
      <c r="J65" s="1" t="s">
        <v>34</v>
      </c>
      <c r="K65" s="1" t="s">
        <v>35</v>
      </c>
      <c r="L65" s="1" t="s">
        <v>36</v>
      </c>
      <c r="M65" s="1" t="s">
        <v>37</v>
      </c>
      <c r="N65" s="1" t="s">
        <v>38</v>
      </c>
    </row>
    <row r="66" spans="1:22" x14ac:dyDescent="0.45">
      <c r="A66" t="s">
        <v>15</v>
      </c>
      <c r="B66" s="1">
        <v>0</v>
      </c>
      <c r="K66" s="1" t="s">
        <v>34</v>
      </c>
      <c r="L66" s="1" t="s">
        <v>35</v>
      </c>
      <c r="M66" s="1" t="s">
        <v>36</v>
      </c>
      <c r="N66" s="1" t="s">
        <v>37</v>
      </c>
      <c r="O66" s="1" t="s">
        <v>38</v>
      </c>
    </row>
    <row r="67" spans="1:22" x14ac:dyDescent="0.45">
      <c r="A67" t="s">
        <v>16</v>
      </c>
      <c r="B67" s="1">
        <v>0</v>
      </c>
      <c r="L67" s="1" t="s">
        <v>34</v>
      </c>
      <c r="M67" s="1" t="s">
        <v>35</v>
      </c>
      <c r="N67" s="1" t="s">
        <v>36</v>
      </c>
      <c r="O67" s="1" t="s">
        <v>37</v>
      </c>
      <c r="P67" s="1" t="s">
        <v>38</v>
      </c>
    </row>
    <row r="68" spans="1:22" x14ac:dyDescent="0.45">
      <c r="A68" t="s">
        <v>17</v>
      </c>
      <c r="B68" s="1">
        <v>1</v>
      </c>
      <c r="M68" s="1" t="s">
        <v>34</v>
      </c>
      <c r="N68" s="1" t="s">
        <v>35</v>
      </c>
      <c r="O68" s="1" t="s">
        <v>39</v>
      </c>
      <c r="P68" s="1" t="s">
        <v>39</v>
      </c>
      <c r="Q68" s="1" t="s">
        <v>39</v>
      </c>
      <c r="R68" s="1" t="s">
        <v>39</v>
      </c>
      <c r="S68" s="1" t="s">
        <v>36</v>
      </c>
      <c r="T68" s="1" t="s">
        <v>37</v>
      </c>
      <c r="U68" s="1" t="s">
        <v>38</v>
      </c>
    </row>
    <row r="69" spans="1:22" x14ac:dyDescent="0.45">
      <c r="A69" t="s">
        <v>18</v>
      </c>
      <c r="B69" s="1">
        <v>1</v>
      </c>
      <c r="N69" s="1" t="s">
        <v>34</v>
      </c>
      <c r="O69" s="1" t="s">
        <v>39</v>
      </c>
      <c r="P69" s="1" t="s">
        <v>39</v>
      </c>
      <c r="Q69" s="1" t="s">
        <v>39</v>
      </c>
      <c r="R69" s="1" t="s">
        <v>39</v>
      </c>
      <c r="S69" s="1" t="s">
        <v>35</v>
      </c>
      <c r="T69" s="1" t="s">
        <v>36</v>
      </c>
      <c r="U69" s="1" t="s">
        <v>37</v>
      </c>
      <c r="V69" s="1" t="s">
        <v>38</v>
      </c>
    </row>
    <row r="71" spans="1:22" x14ac:dyDescent="0.45">
      <c r="A71" t="s">
        <v>19</v>
      </c>
      <c r="B71" s="1">
        <v>1</v>
      </c>
      <c r="C71" s="1" t="s">
        <v>34</v>
      </c>
      <c r="D71" s="1" t="s">
        <v>35</v>
      </c>
      <c r="E71" s="1" t="s">
        <v>36</v>
      </c>
      <c r="F71" s="1" t="s">
        <v>37</v>
      </c>
      <c r="G71" s="1" t="s">
        <v>38</v>
      </c>
      <c r="S71" s="1" t="s">
        <v>34</v>
      </c>
    </row>
    <row r="72" spans="1:22" x14ac:dyDescent="0.45">
      <c r="A72" t="s">
        <v>20</v>
      </c>
      <c r="B72" s="1">
        <v>4</v>
      </c>
      <c r="D72" s="1" t="s">
        <v>34</v>
      </c>
      <c r="E72" s="1" t="s">
        <v>35</v>
      </c>
      <c r="F72" s="1" t="s">
        <v>40</v>
      </c>
      <c r="G72" s="1" t="s">
        <v>40</v>
      </c>
      <c r="H72" s="1" t="s">
        <v>40</v>
      </c>
      <c r="I72" s="1" t="s">
        <v>40</v>
      </c>
      <c r="J72" s="1" t="s">
        <v>37</v>
      </c>
      <c r="K72" s="1" t="s">
        <v>38</v>
      </c>
    </row>
    <row r="73" spans="1:22" x14ac:dyDescent="0.45">
      <c r="A73" s="2" t="s">
        <v>21</v>
      </c>
    </row>
    <row r="74" spans="1:22" x14ac:dyDescent="0.45">
      <c r="A74" t="s">
        <v>22</v>
      </c>
      <c r="B74" s="1">
        <v>4</v>
      </c>
      <c r="E74" s="1" t="s">
        <v>34</v>
      </c>
      <c r="F74" s="1" t="s">
        <v>35</v>
      </c>
      <c r="G74" s="1" t="s">
        <v>39</v>
      </c>
      <c r="H74" s="1" t="s">
        <v>39</v>
      </c>
      <c r="I74" s="1" t="s">
        <v>39</v>
      </c>
      <c r="J74" s="1" t="s">
        <v>40</v>
      </c>
      <c r="K74" s="1" t="s">
        <v>40</v>
      </c>
      <c r="L74" s="1" t="s">
        <v>40</v>
      </c>
      <c r="M74" s="1" t="s">
        <v>40</v>
      </c>
      <c r="N74" s="1" t="s">
        <v>37</v>
      </c>
      <c r="O74" s="1" t="s">
        <v>38</v>
      </c>
    </row>
    <row r="75" spans="1:22" x14ac:dyDescent="0.45">
      <c r="A75" t="s">
        <v>23</v>
      </c>
      <c r="B75" s="1">
        <v>1</v>
      </c>
      <c r="F75" s="1" t="s">
        <v>34</v>
      </c>
      <c r="G75" s="1" t="s">
        <v>39</v>
      </c>
      <c r="H75" s="1" t="s">
        <v>39</v>
      </c>
      <c r="I75" s="1" t="s">
        <v>39</v>
      </c>
      <c r="J75" s="1" t="s">
        <v>35</v>
      </c>
      <c r="K75" s="1" t="s">
        <v>39</v>
      </c>
      <c r="L75" s="1" t="s">
        <v>39</v>
      </c>
      <c r="M75" s="1" t="s">
        <v>39</v>
      </c>
      <c r="N75" s="1" t="s">
        <v>36</v>
      </c>
      <c r="O75" s="1" t="s">
        <v>37</v>
      </c>
      <c r="P75" s="1" t="s">
        <v>38</v>
      </c>
    </row>
    <row r="76" spans="1:22" x14ac:dyDescent="0.45">
      <c r="A76" t="s">
        <v>24</v>
      </c>
      <c r="B76" s="1">
        <v>1</v>
      </c>
      <c r="J76" s="1" t="s">
        <v>34</v>
      </c>
      <c r="K76" s="1" t="s">
        <v>39</v>
      </c>
      <c r="L76" s="1" t="s">
        <v>39</v>
      </c>
      <c r="M76" s="1" t="s">
        <v>39</v>
      </c>
      <c r="N76" s="1" t="s">
        <v>35</v>
      </c>
      <c r="O76" s="1" t="s">
        <v>36</v>
      </c>
      <c r="P76" s="1" t="s">
        <v>37</v>
      </c>
      <c r="Q76" s="1" t="s">
        <v>38</v>
      </c>
    </row>
    <row r="77" spans="1:22" x14ac:dyDescent="0.45">
      <c r="A77" t="s">
        <v>25</v>
      </c>
      <c r="B77" s="1">
        <v>1</v>
      </c>
      <c r="N77" s="1" t="s">
        <v>34</v>
      </c>
      <c r="O77" s="1" t="s">
        <v>35</v>
      </c>
      <c r="P77" s="1" t="s">
        <v>36</v>
      </c>
      <c r="Q77" s="1" t="s">
        <v>37</v>
      </c>
      <c r="R77" s="1" t="s">
        <v>38</v>
      </c>
    </row>
    <row r="78" spans="1:22" x14ac:dyDescent="0.45">
      <c r="A78" t="s">
        <v>26</v>
      </c>
      <c r="B78" s="1">
        <v>4</v>
      </c>
      <c r="O78" s="1" t="s">
        <v>34</v>
      </c>
      <c r="P78" s="1" t="s">
        <v>35</v>
      </c>
      <c r="Q78" s="1" t="s">
        <v>40</v>
      </c>
      <c r="R78" s="1" t="s">
        <v>40</v>
      </c>
      <c r="S78" s="1" t="s">
        <v>40</v>
      </c>
      <c r="T78" s="1" t="s">
        <v>40</v>
      </c>
      <c r="U78" s="1" t="s">
        <v>37</v>
      </c>
      <c r="V78" s="1" t="s">
        <v>38</v>
      </c>
    </row>
    <row r="79" spans="1:22" x14ac:dyDescent="0.45">
      <c r="A79" t="s">
        <v>27</v>
      </c>
      <c r="B79" s="1">
        <v>0</v>
      </c>
      <c r="P79" s="1" t="s">
        <v>34</v>
      </c>
      <c r="Q79" s="1" t="s">
        <v>35</v>
      </c>
      <c r="R79" s="1" t="s">
        <v>36</v>
      </c>
      <c r="S79" s="1" t="s">
        <v>37</v>
      </c>
      <c r="T79" s="1" t="s">
        <v>38</v>
      </c>
    </row>
    <row r="80" spans="1:22" x14ac:dyDescent="0.45">
      <c r="A80" s="2" t="s">
        <v>28</v>
      </c>
    </row>
    <row r="81" spans="1:24" x14ac:dyDescent="0.45">
      <c r="A81" t="s">
        <v>29</v>
      </c>
      <c r="B81" s="1">
        <v>0</v>
      </c>
      <c r="Q81" s="1" t="s">
        <v>34</v>
      </c>
    </row>
    <row r="82" spans="1:24" x14ac:dyDescent="0.45">
      <c r="A82" s="2" t="s">
        <v>30</v>
      </c>
    </row>
    <row r="83" spans="1:24" x14ac:dyDescent="0.45">
      <c r="A83" t="s">
        <v>2</v>
      </c>
      <c r="B83" s="1">
        <v>1</v>
      </c>
      <c r="R83" s="1" t="s">
        <v>34</v>
      </c>
      <c r="S83" s="1" t="s">
        <v>35</v>
      </c>
      <c r="T83" s="1" t="s">
        <v>36</v>
      </c>
      <c r="U83" s="1" t="s">
        <v>39</v>
      </c>
      <c r="V83" s="1" t="s">
        <v>37</v>
      </c>
      <c r="W83" s="1" t="s">
        <v>38</v>
      </c>
    </row>
    <row r="85" spans="1:24" x14ac:dyDescent="0.45">
      <c r="A85" t="s">
        <v>31</v>
      </c>
      <c r="B85" s="1">
        <v>1</v>
      </c>
      <c r="S85" s="1" t="s">
        <v>34</v>
      </c>
      <c r="T85" s="1" t="s">
        <v>35</v>
      </c>
      <c r="U85" s="1" t="s">
        <v>39</v>
      </c>
      <c r="V85" s="1" t="s">
        <v>36</v>
      </c>
      <c r="W85" s="1" t="s">
        <v>37</v>
      </c>
      <c r="X85" s="1" t="s">
        <v>38</v>
      </c>
    </row>
    <row r="86" spans="1:24" x14ac:dyDescent="0.45">
      <c r="A86" t="s">
        <v>32</v>
      </c>
      <c r="T86" s="1" t="s">
        <v>34</v>
      </c>
      <c r="U86" s="1" t="s">
        <v>39</v>
      </c>
      <c r="V86" s="1" t="s">
        <v>35</v>
      </c>
      <c r="W86" s="1" t="s">
        <v>36</v>
      </c>
      <c r="X86" s="1" t="s">
        <v>37</v>
      </c>
    </row>
    <row r="87" spans="1:24" x14ac:dyDescent="0.45">
      <c r="A87" t="s">
        <v>33</v>
      </c>
      <c r="V87" s="1" t="s">
        <v>34</v>
      </c>
      <c r="W87" s="1" t="s">
        <v>35</v>
      </c>
      <c r="X87" s="1" t="s">
        <v>36</v>
      </c>
    </row>
    <row r="88" spans="1:24" x14ac:dyDescent="0.45">
      <c r="W88" s="1" t="s">
        <v>34</v>
      </c>
      <c r="X88" s="1" t="s">
        <v>35</v>
      </c>
    </row>
    <row r="89" spans="1:24" x14ac:dyDescent="0.45">
      <c r="A89" t="s">
        <v>44</v>
      </c>
      <c r="B89" s="1">
        <f>SUM(B52:B60)</f>
        <v>21</v>
      </c>
    </row>
    <row r="90" spans="1:24" x14ac:dyDescent="0.45">
      <c r="A90" t="s">
        <v>45</v>
      </c>
      <c r="B90" s="1">
        <f>SUM(B62:B69)</f>
        <v>13</v>
      </c>
    </row>
    <row r="91" spans="1:24" x14ac:dyDescent="0.45">
      <c r="A91" t="s">
        <v>46</v>
      </c>
      <c r="B91" s="1">
        <f xml:space="preserve"> -1</f>
        <v>-1</v>
      </c>
    </row>
    <row r="92" spans="1:24" x14ac:dyDescent="0.45">
      <c r="A92" t="s">
        <v>47</v>
      </c>
      <c r="B92" s="1">
        <f>SUM(B71:B87)</f>
        <v>18</v>
      </c>
    </row>
    <row r="94" spans="1:24" x14ac:dyDescent="0.45">
      <c r="A94" t="s">
        <v>48</v>
      </c>
      <c r="B94" s="1">
        <v>16</v>
      </c>
    </row>
    <row r="95" spans="1:24" x14ac:dyDescent="0.45">
      <c r="A95" t="s">
        <v>49</v>
      </c>
      <c r="B95" s="1">
        <f>B90*B94+B91</f>
        <v>207</v>
      </c>
    </row>
    <row r="97" spans="1:11" x14ac:dyDescent="0.45">
      <c r="A97" t="s">
        <v>50</v>
      </c>
      <c r="B97" s="1">
        <f>B89+B95+B92</f>
        <v>246</v>
      </c>
    </row>
    <row r="101" spans="1:11" x14ac:dyDescent="0.45">
      <c r="A101" s="3" t="s">
        <v>52</v>
      </c>
    </row>
    <row r="102" spans="1:11" x14ac:dyDescent="0.45">
      <c r="A102" t="s">
        <v>3</v>
      </c>
      <c r="B102" s="1">
        <v>9</v>
      </c>
      <c r="C102" s="1" t="s">
        <v>34</v>
      </c>
      <c r="D102" s="1" t="s">
        <v>39</v>
      </c>
      <c r="E102" s="1" t="s">
        <v>39</v>
      </c>
      <c r="F102" s="1" t="s">
        <v>39</v>
      </c>
      <c r="G102" s="1" t="s">
        <v>35</v>
      </c>
      <c r="H102" s="1" t="s">
        <v>36</v>
      </c>
      <c r="I102" s="1" t="s">
        <v>37</v>
      </c>
      <c r="J102" s="1" t="s">
        <v>38</v>
      </c>
    </row>
    <row r="103" spans="1:11" x14ac:dyDescent="0.45">
      <c r="A103" t="s">
        <v>4</v>
      </c>
      <c r="B103" s="1">
        <v>2</v>
      </c>
    </row>
    <row r="104" spans="1:11" x14ac:dyDescent="0.45">
      <c r="A104" t="s">
        <v>5</v>
      </c>
      <c r="B104" s="1">
        <v>2</v>
      </c>
    </row>
    <row r="105" spans="1:11" x14ac:dyDescent="0.45">
      <c r="A105" t="s">
        <v>6</v>
      </c>
      <c r="B105" s="1">
        <v>2</v>
      </c>
    </row>
    <row r="106" spans="1:11" x14ac:dyDescent="0.45">
      <c r="A106" t="s">
        <v>7</v>
      </c>
      <c r="B106" s="1">
        <v>2</v>
      </c>
    </row>
    <row r="107" spans="1:11" x14ac:dyDescent="0.45">
      <c r="A107" t="s">
        <v>62</v>
      </c>
      <c r="B107" s="1">
        <v>1</v>
      </c>
      <c r="C107" s="1" t="s">
        <v>34</v>
      </c>
      <c r="D107" s="1" t="s">
        <v>35</v>
      </c>
      <c r="E107" s="1" t="s">
        <v>36</v>
      </c>
      <c r="F107" s="1" t="s">
        <v>37</v>
      </c>
      <c r="G107" s="1" t="s">
        <v>38</v>
      </c>
    </row>
    <row r="108" spans="1:11" x14ac:dyDescent="0.45">
      <c r="A108" t="s">
        <v>9</v>
      </c>
      <c r="B108" s="1">
        <v>1</v>
      </c>
      <c r="D108" s="1" t="s">
        <v>34</v>
      </c>
      <c r="E108" s="1" t="s">
        <v>35</v>
      </c>
      <c r="F108" s="1" t="s">
        <v>36</v>
      </c>
      <c r="G108" s="1" t="s">
        <v>37</v>
      </c>
      <c r="H108" s="1" t="s">
        <v>38</v>
      </c>
    </row>
    <row r="109" spans="1:11" x14ac:dyDescent="0.45">
      <c r="A109" t="s">
        <v>10</v>
      </c>
      <c r="B109" s="1">
        <v>1</v>
      </c>
      <c r="E109" s="1" t="s">
        <v>34</v>
      </c>
      <c r="F109" s="1" t="s">
        <v>35</v>
      </c>
      <c r="G109" s="1" t="s">
        <v>36</v>
      </c>
      <c r="H109" s="1" t="s">
        <v>37</v>
      </c>
      <c r="I109" s="1" t="s">
        <v>38</v>
      </c>
    </row>
    <row r="110" spans="1:11" x14ac:dyDescent="0.45">
      <c r="A110" t="s">
        <v>11</v>
      </c>
      <c r="B110" s="1">
        <v>1</v>
      </c>
      <c r="F110" s="1" t="s">
        <v>34</v>
      </c>
      <c r="G110" s="1" t="s">
        <v>35</v>
      </c>
      <c r="H110" s="1" t="s">
        <v>36</v>
      </c>
      <c r="I110" s="1" t="s">
        <v>37</v>
      </c>
      <c r="J110" s="1" t="s">
        <v>38</v>
      </c>
    </row>
    <row r="111" spans="1:11" x14ac:dyDescent="0.45">
      <c r="A111" s="5" t="s">
        <v>53</v>
      </c>
      <c r="B111" s="1">
        <v>1</v>
      </c>
      <c r="G111" s="1" t="s">
        <v>34</v>
      </c>
      <c r="H111" s="1" t="s">
        <v>35</v>
      </c>
      <c r="I111" s="1" t="s">
        <v>36</v>
      </c>
      <c r="J111" s="1" t="s">
        <v>37</v>
      </c>
      <c r="K111" s="1" t="s">
        <v>38</v>
      </c>
    </row>
    <row r="112" spans="1:11" x14ac:dyDescent="0.45">
      <c r="A112" s="2" t="s">
        <v>13</v>
      </c>
    </row>
    <row r="113" spans="1:32" x14ac:dyDescent="0.45">
      <c r="A113" t="s">
        <v>0</v>
      </c>
      <c r="B113" s="1">
        <v>1</v>
      </c>
      <c r="H113" s="1" t="s">
        <v>34</v>
      </c>
      <c r="I113" s="1" t="s">
        <v>35</v>
      </c>
      <c r="J113" s="1" t="s">
        <v>36</v>
      </c>
      <c r="K113" s="1" t="s">
        <v>37</v>
      </c>
      <c r="L113" s="1" t="s">
        <v>38</v>
      </c>
      <c r="X113" s="1" t="s">
        <v>34</v>
      </c>
      <c r="Y113" s="1" t="s">
        <v>35</v>
      </c>
      <c r="Z113" s="1" t="s">
        <v>36</v>
      </c>
      <c r="AA113" s="1" t="s">
        <v>39</v>
      </c>
      <c r="AB113" s="1" t="s">
        <v>37</v>
      </c>
      <c r="AC113" s="1" t="s">
        <v>38</v>
      </c>
    </row>
    <row r="114" spans="1:32" x14ac:dyDescent="0.45">
      <c r="A114" t="s">
        <v>1</v>
      </c>
      <c r="B114" s="1">
        <v>1</v>
      </c>
      <c r="I114" s="1" t="s">
        <v>34</v>
      </c>
      <c r="J114" s="1" t="s">
        <v>35</v>
      </c>
      <c r="K114" s="1" t="s">
        <v>36</v>
      </c>
      <c r="L114" s="1" t="s">
        <v>37</v>
      </c>
      <c r="M114" s="1" t="s">
        <v>38</v>
      </c>
    </row>
    <row r="115" spans="1:32" x14ac:dyDescent="0.45">
      <c r="A115" t="s">
        <v>54</v>
      </c>
      <c r="B115" s="1">
        <v>1</v>
      </c>
      <c r="J115" s="1" t="s">
        <v>34</v>
      </c>
      <c r="K115" s="1" t="s">
        <v>35</v>
      </c>
      <c r="L115" s="1" t="s">
        <v>36</v>
      </c>
      <c r="M115" s="1" t="s">
        <v>37</v>
      </c>
      <c r="N115" s="1" t="s">
        <v>38</v>
      </c>
    </row>
    <row r="116" spans="1:32" x14ac:dyDescent="0.45">
      <c r="A116" t="s">
        <v>55</v>
      </c>
      <c r="B116" s="1">
        <v>1</v>
      </c>
      <c r="K116" s="1" t="s">
        <v>34</v>
      </c>
      <c r="L116" s="1" t="s">
        <v>35</v>
      </c>
      <c r="M116" s="1" t="s">
        <v>36</v>
      </c>
      <c r="N116" s="1" t="s">
        <v>37</v>
      </c>
      <c r="O116" s="1" t="s">
        <v>38</v>
      </c>
    </row>
    <row r="117" spans="1:32" x14ac:dyDescent="0.45">
      <c r="A117" t="s">
        <v>12</v>
      </c>
      <c r="B117" s="1">
        <v>8</v>
      </c>
      <c r="L117" s="1" t="s">
        <v>34</v>
      </c>
      <c r="M117" s="1" t="s">
        <v>35</v>
      </c>
      <c r="N117" s="1" t="s">
        <v>41</v>
      </c>
      <c r="O117" s="1" t="s">
        <v>41</v>
      </c>
      <c r="P117" s="1" t="s">
        <v>41</v>
      </c>
      <c r="Q117" s="1" t="s">
        <v>41</v>
      </c>
      <c r="R117" s="1" t="s">
        <v>41</v>
      </c>
      <c r="S117" s="1" t="s">
        <v>41</v>
      </c>
      <c r="T117" s="1" t="s">
        <v>41</v>
      </c>
      <c r="U117" s="1" t="s">
        <v>41</v>
      </c>
      <c r="V117" s="1" t="s">
        <v>37</v>
      </c>
      <c r="W117" s="1" t="s">
        <v>38</v>
      </c>
    </row>
    <row r="118" spans="1:32" x14ac:dyDescent="0.45">
      <c r="A118" t="s">
        <v>56</v>
      </c>
      <c r="B118" s="1">
        <v>1</v>
      </c>
      <c r="M118" s="1" t="s">
        <v>34</v>
      </c>
      <c r="N118" s="1" t="s">
        <v>35</v>
      </c>
      <c r="O118" s="1" t="s">
        <v>41</v>
      </c>
      <c r="P118" s="1" t="s">
        <v>41</v>
      </c>
      <c r="Q118" s="1" t="s">
        <v>41</v>
      </c>
      <c r="R118" s="1" t="s">
        <v>41</v>
      </c>
      <c r="S118" s="1" t="s">
        <v>41</v>
      </c>
      <c r="T118" s="1" t="s">
        <v>41</v>
      </c>
      <c r="U118" s="1" t="s">
        <v>41</v>
      </c>
      <c r="V118" s="1" t="s">
        <v>41</v>
      </c>
      <c r="W118" s="1" t="s">
        <v>37</v>
      </c>
      <c r="X118" s="1" t="s">
        <v>38</v>
      </c>
    </row>
    <row r="119" spans="1:32" x14ac:dyDescent="0.45">
      <c r="A119" t="s">
        <v>60</v>
      </c>
      <c r="B119" s="1">
        <v>0</v>
      </c>
      <c r="N119" s="1" t="s">
        <v>34</v>
      </c>
      <c r="O119" s="1" t="s">
        <v>35</v>
      </c>
      <c r="P119" s="1" t="s">
        <v>36</v>
      </c>
      <c r="Q119" s="1" t="s">
        <v>37</v>
      </c>
      <c r="R119" s="1" t="s">
        <v>38</v>
      </c>
    </row>
    <row r="120" spans="1:32" x14ac:dyDescent="0.45">
      <c r="A120" t="s">
        <v>61</v>
      </c>
      <c r="B120" s="1">
        <v>0</v>
      </c>
      <c r="O120" s="1" t="s">
        <v>34</v>
      </c>
      <c r="P120" s="1" t="s">
        <v>35</v>
      </c>
      <c r="Q120" s="1" t="s">
        <v>36</v>
      </c>
      <c r="R120" s="1" t="s">
        <v>37</v>
      </c>
      <c r="S120" s="1" t="s">
        <v>38</v>
      </c>
    </row>
    <row r="121" spans="1:32" x14ac:dyDescent="0.45">
      <c r="A121" t="s">
        <v>16</v>
      </c>
      <c r="B121" s="1">
        <v>0</v>
      </c>
      <c r="P121" s="1" t="s">
        <v>34</v>
      </c>
      <c r="Q121" s="1" t="s">
        <v>35</v>
      </c>
      <c r="R121" s="1" t="s">
        <v>36</v>
      </c>
      <c r="S121" s="1" t="s">
        <v>37</v>
      </c>
      <c r="T121" s="1" t="s">
        <v>38</v>
      </c>
    </row>
    <row r="122" spans="1:32" x14ac:dyDescent="0.45">
      <c r="A122" t="s">
        <v>17</v>
      </c>
      <c r="B122" s="1">
        <v>3</v>
      </c>
      <c r="Q122" s="1" t="s">
        <v>34</v>
      </c>
      <c r="R122" s="1" t="s">
        <v>35</v>
      </c>
      <c r="S122" s="1" t="s">
        <v>39</v>
      </c>
      <c r="T122" s="1" t="s">
        <v>39</v>
      </c>
      <c r="U122" s="1" t="s">
        <v>39</v>
      </c>
      <c r="V122" s="1" t="s">
        <v>40</v>
      </c>
      <c r="W122" s="1" t="s">
        <v>40</v>
      </c>
      <c r="X122" s="1" t="s">
        <v>40</v>
      </c>
      <c r="Y122" s="1" t="s">
        <v>40</v>
      </c>
      <c r="Z122" s="1" t="s">
        <v>37</v>
      </c>
      <c r="AA122" s="1" t="s">
        <v>38</v>
      </c>
    </row>
    <row r="123" spans="1:32" x14ac:dyDescent="0.45">
      <c r="A123" t="s">
        <v>57</v>
      </c>
      <c r="B123" s="1">
        <v>1</v>
      </c>
      <c r="R123" s="1" t="s">
        <v>34</v>
      </c>
      <c r="S123" s="1" t="s">
        <v>39</v>
      </c>
      <c r="T123" s="1" t="s">
        <v>39</v>
      </c>
      <c r="U123" s="1" t="s">
        <v>39</v>
      </c>
      <c r="V123" s="1" t="s">
        <v>35</v>
      </c>
      <c r="W123" s="1" t="s">
        <v>40</v>
      </c>
      <c r="X123" s="1" t="s">
        <v>40</v>
      </c>
      <c r="Y123" s="1" t="s">
        <v>40</v>
      </c>
      <c r="Z123" s="1" t="s">
        <v>40</v>
      </c>
      <c r="AA123" s="1" t="s">
        <v>37</v>
      </c>
      <c r="AB123" s="1" t="s">
        <v>38</v>
      </c>
    </row>
    <row r="124" spans="1:32" x14ac:dyDescent="0.45">
      <c r="A124" t="s">
        <v>18</v>
      </c>
      <c r="V124" s="1" t="s">
        <v>34</v>
      </c>
      <c r="W124" s="1" t="s">
        <v>35</v>
      </c>
      <c r="X124" s="1" t="s">
        <v>36</v>
      </c>
      <c r="Y124" s="1" t="s">
        <v>37</v>
      </c>
      <c r="Z124" s="1" t="s">
        <v>38</v>
      </c>
    </row>
    <row r="126" spans="1:32" x14ac:dyDescent="0.45">
      <c r="A126" t="s">
        <v>59</v>
      </c>
      <c r="B126" s="1">
        <v>4</v>
      </c>
      <c r="W126" s="1" t="s">
        <v>34</v>
      </c>
      <c r="X126" s="1" t="s">
        <v>35</v>
      </c>
      <c r="Y126" s="1" t="s">
        <v>39</v>
      </c>
      <c r="Z126" s="1" t="s">
        <v>39</v>
      </c>
      <c r="AA126" s="1" t="s">
        <v>40</v>
      </c>
      <c r="AB126" s="1" t="s">
        <v>40</v>
      </c>
      <c r="AC126" s="1" t="s">
        <v>40</v>
      </c>
      <c r="AD126" s="1" t="s">
        <v>40</v>
      </c>
      <c r="AE126" s="1" t="s">
        <v>37</v>
      </c>
      <c r="AF126" s="1" t="s">
        <v>38</v>
      </c>
    </row>
    <row r="127" spans="1:32" x14ac:dyDescent="0.45">
      <c r="A127" t="s">
        <v>19</v>
      </c>
      <c r="B127" s="1">
        <v>0</v>
      </c>
      <c r="X127" s="1" t="s">
        <v>34</v>
      </c>
      <c r="Y127" s="1" t="s">
        <v>39</v>
      </c>
      <c r="Z127" s="1" t="s">
        <v>39</v>
      </c>
      <c r="AA127" s="1" t="s">
        <v>35</v>
      </c>
      <c r="AB127" s="1" t="s">
        <v>36</v>
      </c>
      <c r="AC127" s="1" t="s">
        <v>37</v>
      </c>
      <c r="AD127" s="1" t="s">
        <v>38</v>
      </c>
    </row>
    <row r="128" spans="1:32" x14ac:dyDescent="0.45">
      <c r="A128" t="s">
        <v>58</v>
      </c>
      <c r="B128" s="1">
        <v>0</v>
      </c>
      <c r="AA128" s="1" t="s">
        <v>34</v>
      </c>
      <c r="AB128" s="1" t="s">
        <v>35</v>
      </c>
      <c r="AC128" s="1" t="s">
        <v>36</v>
      </c>
      <c r="AD128" s="1" t="s">
        <v>37</v>
      </c>
      <c r="AE128" s="1" t="s">
        <v>38</v>
      </c>
    </row>
    <row r="129" spans="1:50" x14ac:dyDescent="0.45">
      <c r="A129" t="s">
        <v>20</v>
      </c>
      <c r="B129" s="1">
        <v>4</v>
      </c>
      <c r="AB129" s="1" t="s">
        <v>34</v>
      </c>
      <c r="AC129" s="1" t="s">
        <v>35</v>
      </c>
      <c r="AD129" s="1" t="s">
        <v>39</v>
      </c>
      <c r="AE129" s="1" t="s">
        <v>40</v>
      </c>
      <c r="AF129" s="1" t="s">
        <v>40</v>
      </c>
      <c r="AG129" s="1" t="s">
        <v>40</v>
      </c>
      <c r="AH129" s="1" t="s">
        <v>40</v>
      </c>
      <c r="AI129" s="1" t="s">
        <v>37</v>
      </c>
      <c r="AJ129" s="1" t="s">
        <v>38</v>
      </c>
    </row>
    <row r="130" spans="1:50" x14ac:dyDescent="0.45">
      <c r="A130" s="2" t="s">
        <v>21</v>
      </c>
    </row>
    <row r="131" spans="1:50" x14ac:dyDescent="0.45">
      <c r="A131" t="s">
        <v>22</v>
      </c>
      <c r="B131" s="1">
        <v>4</v>
      </c>
      <c r="AC131" s="1" t="s">
        <v>34</v>
      </c>
      <c r="AD131" s="1" t="s">
        <v>39</v>
      </c>
      <c r="AE131" s="1" t="s">
        <v>35</v>
      </c>
      <c r="AF131" s="1" t="s">
        <v>39</v>
      </c>
      <c r="AG131" s="1" t="s">
        <v>39</v>
      </c>
      <c r="AH131" s="1" t="s">
        <v>39</v>
      </c>
      <c r="AI131" s="1" t="s">
        <v>40</v>
      </c>
      <c r="AJ131" s="1" t="s">
        <v>40</v>
      </c>
      <c r="AK131" s="1" t="s">
        <v>40</v>
      </c>
      <c r="AL131" s="1" t="s">
        <v>40</v>
      </c>
      <c r="AM131" s="1" t="s">
        <v>37</v>
      </c>
      <c r="AN131" s="1" t="s">
        <v>38</v>
      </c>
    </row>
    <row r="132" spans="1:50" x14ac:dyDescent="0.45">
      <c r="A132" t="s">
        <v>23</v>
      </c>
      <c r="B132" s="1">
        <v>1</v>
      </c>
      <c r="AE132" s="1" t="s">
        <v>34</v>
      </c>
      <c r="AF132" s="1" t="s">
        <v>39</v>
      </c>
      <c r="AG132" s="1" t="s">
        <v>39</v>
      </c>
      <c r="AH132" s="1" t="s">
        <v>39</v>
      </c>
      <c r="AI132" s="1" t="s">
        <v>35</v>
      </c>
      <c r="AJ132" s="1" t="s">
        <v>39</v>
      </c>
      <c r="AK132" s="1" t="s">
        <v>39</v>
      </c>
      <c r="AL132" s="1" t="s">
        <v>39</v>
      </c>
      <c r="AM132" s="1" t="s">
        <v>36</v>
      </c>
      <c r="AN132" s="1" t="s">
        <v>37</v>
      </c>
      <c r="AO132" s="1" t="s">
        <v>38</v>
      </c>
    </row>
    <row r="133" spans="1:50" x14ac:dyDescent="0.45">
      <c r="A133" t="s">
        <v>24</v>
      </c>
      <c r="B133" s="1">
        <v>1</v>
      </c>
      <c r="AI133" s="1" t="s">
        <v>34</v>
      </c>
      <c r="AJ133" s="1" t="s">
        <v>39</v>
      </c>
      <c r="AK133" s="1" t="s">
        <v>39</v>
      </c>
      <c r="AL133" s="1" t="s">
        <v>39</v>
      </c>
      <c r="AM133" s="1" t="s">
        <v>35</v>
      </c>
      <c r="AN133" s="1" t="s">
        <v>36</v>
      </c>
      <c r="AO133" s="1" t="s">
        <v>37</v>
      </c>
      <c r="AP133" s="1" t="s">
        <v>38</v>
      </c>
    </row>
    <row r="134" spans="1:50" x14ac:dyDescent="0.45">
      <c r="A134" t="s">
        <v>25</v>
      </c>
      <c r="B134" s="1">
        <v>2</v>
      </c>
      <c r="AM134" s="1" t="s">
        <v>34</v>
      </c>
      <c r="AN134" s="1" t="s">
        <v>35</v>
      </c>
      <c r="AO134" s="1" t="s">
        <v>39</v>
      </c>
      <c r="AP134" s="1" t="s">
        <v>36</v>
      </c>
      <c r="AQ134" s="1" t="s">
        <v>37</v>
      </c>
      <c r="AR134" s="1" t="s">
        <v>38</v>
      </c>
    </row>
    <row r="135" spans="1:50" x14ac:dyDescent="0.45">
      <c r="A135" t="s">
        <v>26</v>
      </c>
      <c r="B135" s="1">
        <v>4</v>
      </c>
      <c r="AN135" s="1" t="s">
        <v>34</v>
      </c>
      <c r="AO135" s="1" t="s">
        <v>39</v>
      </c>
      <c r="AP135" s="1" t="s">
        <v>35</v>
      </c>
      <c r="AQ135" s="1" t="s">
        <v>40</v>
      </c>
      <c r="AR135" s="1" t="s">
        <v>40</v>
      </c>
      <c r="AS135" s="1" t="s">
        <v>40</v>
      </c>
      <c r="AT135" s="1" t="s">
        <v>40</v>
      </c>
      <c r="AU135" s="1" t="s">
        <v>37</v>
      </c>
      <c r="AV135" s="1" t="s">
        <v>38</v>
      </c>
    </row>
    <row r="136" spans="1:50" x14ac:dyDescent="0.45">
      <c r="A136" t="s">
        <v>27</v>
      </c>
      <c r="B136" s="1">
        <v>0</v>
      </c>
      <c r="AP136" s="1" t="s">
        <v>34</v>
      </c>
      <c r="AQ136" s="1" t="s">
        <v>35</v>
      </c>
      <c r="AR136" s="1" t="s">
        <v>36</v>
      </c>
      <c r="AS136" s="1" t="s">
        <v>37</v>
      </c>
      <c r="AT136" s="1" t="s">
        <v>38</v>
      </c>
    </row>
    <row r="137" spans="1:50" x14ac:dyDescent="0.45">
      <c r="A137" s="2" t="s">
        <v>28</v>
      </c>
    </row>
    <row r="138" spans="1:50" x14ac:dyDescent="0.45">
      <c r="A138" t="s">
        <v>29</v>
      </c>
      <c r="B138" s="1">
        <v>0</v>
      </c>
      <c r="AQ138" s="1" t="s">
        <v>34</v>
      </c>
    </row>
    <row r="139" spans="1:50" x14ac:dyDescent="0.45">
      <c r="A139" s="2" t="s">
        <v>30</v>
      </c>
    </row>
    <row r="140" spans="1:50" x14ac:dyDescent="0.45">
      <c r="A140" t="s">
        <v>2</v>
      </c>
      <c r="B140" s="1">
        <v>1</v>
      </c>
      <c r="AR140" s="1" t="s">
        <v>34</v>
      </c>
      <c r="AS140" s="1" t="s">
        <v>35</v>
      </c>
      <c r="AT140" s="1" t="s">
        <v>36</v>
      </c>
      <c r="AU140" s="1" t="s">
        <v>39</v>
      </c>
      <c r="AV140" s="1" t="s">
        <v>37</v>
      </c>
      <c r="AW140" s="1" t="s">
        <v>38</v>
      </c>
    </row>
    <row r="142" spans="1:50" x14ac:dyDescent="0.45">
      <c r="A142" t="s">
        <v>31</v>
      </c>
      <c r="B142" s="1">
        <v>1</v>
      </c>
      <c r="AS142" s="1" t="s">
        <v>34</v>
      </c>
      <c r="AT142" s="1" t="s">
        <v>35</v>
      </c>
      <c r="AU142" s="1" t="s">
        <v>39</v>
      </c>
      <c r="AV142" s="1" t="s">
        <v>36</v>
      </c>
      <c r="AW142" s="1" t="s">
        <v>37</v>
      </c>
      <c r="AX142" s="1" t="s">
        <v>38</v>
      </c>
    </row>
    <row r="143" spans="1:50" x14ac:dyDescent="0.45">
      <c r="A143" t="s">
        <v>32</v>
      </c>
      <c r="AT143" s="1" t="s">
        <v>34</v>
      </c>
      <c r="AU143" s="1" t="s">
        <v>39</v>
      </c>
      <c r="AV143" s="1" t="s">
        <v>35</v>
      </c>
      <c r="AW143" s="1" t="s">
        <v>36</v>
      </c>
      <c r="AX143" s="1" t="s">
        <v>37</v>
      </c>
    </row>
    <row r="144" spans="1:50" x14ac:dyDescent="0.45">
      <c r="A144" t="s">
        <v>33</v>
      </c>
      <c r="AV144" s="1" t="s">
        <v>34</v>
      </c>
      <c r="AW144" s="1" t="s">
        <v>35</v>
      </c>
      <c r="AX144" s="1" t="s">
        <v>36</v>
      </c>
    </row>
    <row r="145" spans="1:50" x14ac:dyDescent="0.45">
      <c r="AW145" s="1" t="s">
        <v>34</v>
      </c>
      <c r="AX145" s="1" t="s">
        <v>35</v>
      </c>
    </row>
    <row r="146" spans="1:50" x14ac:dyDescent="0.45">
      <c r="A146" t="s">
        <v>44</v>
      </c>
      <c r="B146" s="1">
        <f>SUM(B102:B111)</f>
        <v>22</v>
      </c>
    </row>
    <row r="147" spans="1:50" x14ac:dyDescent="0.45">
      <c r="A147" t="s">
        <v>45</v>
      </c>
      <c r="B147" s="1">
        <f>SUM(B113:B124)</f>
        <v>17</v>
      </c>
    </row>
    <row r="148" spans="1:50" x14ac:dyDescent="0.45">
      <c r="A148" t="s">
        <v>46</v>
      </c>
      <c r="B148" s="1">
        <v>0</v>
      </c>
    </row>
    <row r="149" spans="1:50" x14ac:dyDescent="0.45">
      <c r="A149" t="s">
        <v>47</v>
      </c>
      <c r="B149" s="1">
        <f>SUM(B126:B144)</f>
        <v>22</v>
      </c>
    </row>
    <row r="151" spans="1:50" x14ac:dyDescent="0.45">
      <c r="A151" t="s">
        <v>48</v>
      </c>
      <c r="B151" s="1">
        <f>8</f>
        <v>8</v>
      </c>
    </row>
    <row r="152" spans="1:50" x14ac:dyDescent="0.45">
      <c r="A152" t="s">
        <v>49</v>
      </c>
      <c r="B152" s="1">
        <f>B147*B151+B148</f>
        <v>136</v>
      </c>
    </row>
    <row r="154" spans="1:50" x14ac:dyDescent="0.45">
      <c r="A154" t="s">
        <v>50</v>
      </c>
      <c r="B154" s="1">
        <f>B146+B149+B152</f>
        <v>180</v>
      </c>
    </row>
  </sheetData>
  <phoneticPr fontId="1" type="noConversion"/>
  <conditionalFormatting sqref="C1:XFD1048576">
    <cfRule type="containsText" dxfId="8" priority="1" operator="containsText" text="A">
      <formula>NOT(ISERROR(SEARCH("A",C1)))</formula>
    </cfRule>
    <cfRule type="containsText" dxfId="7" priority="2" operator="containsText" text="s">
      <formula>NOT(ISERROR(SEARCH("s",C1)))</formula>
    </cfRule>
    <cfRule type="containsText" dxfId="6" priority="3" operator="containsText" text="W">
      <formula>NOT(ISERROR(SEARCH("W",C1)))</formula>
    </cfRule>
    <cfRule type="containsText" dxfId="5" priority="4" operator="containsText" text="M">
      <formula>NOT(ISERROR(SEARCH("M",C1)))</formula>
    </cfRule>
    <cfRule type="containsText" dxfId="4" priority="5" operator="containsText" text="/">
      <formula>NOT(ISERROR(SEARCH("/",C1)))</formula>
    </cfRule>
    <cfRule type="containsText" dxfId="3" priority="6" operator="containsText" text="X">
      <formula>NOT(ISERROR(SEARCH("X",C1)))</formula>
    </cfRule>
    <cfRule type="containsText" dxfId="2" priority="7" operator="containsText" text="E">
      <formula>NOT(ISERROR(SEARCH("E",C1)))</formula>
    </cfRule>
    <cfRule type="containsText" dxfId="1" priority="8" operator="containsText" text="D">
      <formula>NOT(ISERROR(SEARCH("D",C1)))</formula>
    </cfRule>
    <cfRule type="containsText" dxfId="0" priority="9" operator="containsText" text="F">
      <formula>NOT(ISERROR(SEARCH("F",C1)))</formula>
    </cfRule>
  </conditionalFormatting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Foglio1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TALLONE STEFANO</dc:creator>
  <cp:lastModifiedBy>TALLONE STEFANO</cp:lastModifiedBy>
  <dcterms:created xsi:type="dcterms:W3CDTF">2025-10-22T09:22:57Z</dcterms:created>
  <dcterms:modified xsi:type="dcterms:W3CDTF">2025-10-29T22:08:35Z</dcterms:modified>
</cp:coreProperties>
</file>