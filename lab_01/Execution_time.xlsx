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58440_studenti_polito_it/Documents/Desktop/Architetture dei Sistemi di Elaborazione/Lab/Lab1/"/>
    </mc:Choice>
  </mc:AlternateContent>
  <xr:revisionPtr revIDLastSave="1" documentId="8_{B413EB7B-1253-45E2-BE06-9FE97FD44A5B}" xr6:coauthVersionLast="47" xr6:coauthVersionMax="47" xr10:uidLastSave="{31C10FE4-A61A-40C7-A0DB-7BF3DA11D1D2}"/>
  <bookViews>
    <workbookView xWindow="-98" yWindow="-98" windowWidth="21795" windowHeight="12975" xr2:uid="{CD889C41-ABC4-4975-B541-C766333BA2F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4" i="1"/>
  <c r="L10" i="1"/>
  <c r="K5" i="1"/>
  <c r="K6" i="1"/>
  <c r="K7" i="1"/>
  <c r="K8" i="1"/>
  <c r="K4" i="1"/>
  <c r="J10" i="1"/>
  <c r="I5" i="1"/>
  <c r="I6" i="1"/>
  <c r="I7" i="1"/>
  <c r="I4" i="1"/>
  <c r="F10" i="1"/>
  <c r="H10" i="1"/>
  <c r="G5" i="1"/>
  <c r="G6" i="1"/>
  <c r="G7" i="1"/>
  <c r="G4" i="1"/>
  <c r="E8" i="1"/>
  <c r="I8" i="1" s="1"/>
  <c r="I10" i="1" s="1"/>
  <c r="E7" i="1"/>
  <c r="E6" i="1"/>
  <c r="E5" i="1"/>
  <c r="E4" i="1"/>
  <c r="K10" i="1" l="1"/>
  <c r="M8" i="1"/>
  <c r="M10" i="1" s="1"/>
  <c r="G8" i="1"/>
  <c r="G10" i="1" s="1"/>
</calcChain>
</file>

<file path=xl/sharedStrings.xml><?xml version="1.0" encoding="utf-8"?>
<sst xmlns="http://schemas.openxmlformats.org/spreadsheetml/2006/main" count="12" uniqueCount="12">
  <si>
    <t>calculate_pi.s</t>
  </si>
  <si>
    <t>insertion_sort.s</t>
  </si>
  <si>
    <t>program1.s</t>
  </si>
  <si>
    <t>program2.s</t>
  </si>
  <si>
    <t>program3.s</t>
  </si>
  <si>
    <t>Clock cycles</t>
  </si>
  <si>
    <t>Time</t>
  </si>
  <si>
    <t>Initial scenario</t>
  </si>
  <si>
    <t>TOTAL</t>
  </si>
  <si>
    <t>Scenario 1</t>
  </si>
  <si>
    <t>Scenario 2</t>
  </si>
  <si>
    <t>Scenario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</si>
</sst>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9" fontId="0" fillId="2" borderId="0" xfId="1" applyFont="1" applyFill="1"/>
    <xf numFmtId="0" fontId="0" fillId="2" borderId="0" xfId="0" applyFill="1"/>
    <xf numFmtId="9" fontId="0" fillId="3" borderId="0" xfId="1" applyFont="1" applyFill="1"/>
    <xf numFmtId="0" fontId="0" fillId="3" borderId="0" xfId="0" applyFill="1"/>
    <xf numFmtId="9" fontId="0" fillId="4" borderId="0" xfId="1" applyFont="1" applyFill="1"/>
    <xf numFmtId="0" fontId="0" fillId="4" borderId="0" xfId="0" applyFill="1"/>
    <xf numFmtId="0" fontId="0" fillId="5" borderId="0" xfId="0" applyFill="1"/>
    <xf numFmtId="9" fontId="0" fillId="5" borderId="0" xfId="1" applyFont="1" applyFill="1"/>
    <xf numFmtId="164" fontId="0" fillId="5" borderId="0" xfId="1" applyNumberFormat="1" applyFont="1" applyFill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5" fontId="0" fillId="3" borderId="0" xfId="1" applyNumberFormat="1" applyFont="1" applyFill="1"/>
    <xf numFmtId="165" fontId="0" fillId="4" borderId="0" xfId="1" applyNumberFormat="1" applyFont="1" applyFill="1"/>
    <xf numFmtId="165" fontId="0" fillId="5" borderId="0" xfId="1" applyNumberFormat="1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855C-8ACF-420B-9C39-056419809701}">
  <dimension ref="A3:M10"/>
  <sheetViews>
    <sheetView tabSelected="1" workbookViewId="0">
      <selection activeCell="D9" sqref="D9"/>
    </sheetView>
  </sheetViews>
  <sheetFormatPr defaultRowHeight="14.25" x14ac:dyDescent="0.45"/>
  <cols>
    <col min="3" max="3" width="13" bestFit="1" customWidth="1"/>
    <col min="4" max="4" width="10.46484375" bestFit="1" customWidth="1"/>
  </cols>
  <sheetData>
    <row r="3" spans="1:13" x14ac:dyDescent="0.45">
      <c r="A3">
        <v>1750</v>
      </c>
      <c r="D3" t="s">
        <v>5</v>
      </c>
      <c r="E3" t="s">
        <v>6</v>
      </c>
      <c r="F3" s="17" t="s">
        <v>7</v>
      </c>
      <c r="G3" s="17"/>
      <c r="H3" s="18" t="s">
        <v>9</v>
      </c>
      <c r="I3" s="18"/>
      <c r="J3" s="19" t="s">
        <v>10</v>
      </c>
      <c r="K3" s="19"/>
      <c r="L3" s="20" t="s">
        <v>11</v>
      </c>
      <c r="M3" s="20"/>
    </row>
    <row r="4" spans="1:13" x14ac:dyDescent="0.45">
      <c r="C4" t="s">
        <v>0</v>
      </c>
      <c r="D4">
        <v>3030</v>
      </c>
      <c r="E4">
        <f>D4/A3</f>
        <v>1.7314285714285715</v>
      </c>
      <c r="F4" s="1">
        <v>0.2</v>
      </c>
      <c r="G4" s="10">
        <f>E4*F4</f>
        <v>0.34628571428571431</v>
      </c>
      <c r="H4" s="3">
        <v>0.25</v>
      </c>
      <c r="I4" s="11">
        <f>E4*H4</f>
        <v>0.43285714285714288</v>
      </c>
      <c r="J4" s="5">
        <v>0.1</v>
      </c>
      <c r="K4" s="12">
        <f>E4*J4</f>
        <v>0.17314285714285715</v>
      </c>
      <c r="L4" s="9">
        <v>0.314</v>
      </c>
      <c r="M4" s="13">
        <f>E4*L4</f>
        <v>0.5436685714285715</v>
      </c>
    </row>
    <row r="5" spans="1:13" x14ac:dyDescent="0.45">
      <c r="C5" t="s">
        <v>1</v>
      </c>
      <c r="D5">
        <v>13554</v>
      </c>
      <c r="E5">
        <f>D5/A3</f>
        <v>7.7451428571428576</v>
      </c>
      <c r="F5" s="1">
        <v>0.2</v>
      </c>
      <c r="G5" s="10">
        <f t="shared" ref="G5:G8" si="0">E5*F5</f>
        <v>1.5490285714285716</v>
      </c>
      <c r="H5" s="3">
        <v>0.11</v>
      </c>
      <c r="I5" s="11">
        <f t="shared" ref="I5:I8" si="1">E5*H5</f>
        <v>0.85196571428571433</v>
      </c>
      <c r="J5" s="5">
        <v>0.25</v>
      </c>
      <c r="K5" s="12">
        <f t="shared" ref="K5:K8" si="2">E5*J5</f>
        <v>1.9362857142857144</v>
      </c>
      <c r="L5" s="9">
        <v>0.16700000000000001</v>
      </c>
      <c r="M5" s="13">
        <f t="shared" ref="M5:M8" si="3">E5*L5</f>
        <v>1.2934388571428572</v>
      </c>
    </row>
    <row r="6" spans="1:13" x14ac:dyDescent="0.45">
      <c r="C6" t="s">
        <v>2</v>
      </c>
      <c r="D6">
        <v>23</v>
      </c>
      <c r="E6">
        <f>D6/A3</f>
        <v>1.3142857142857144E-2</v>
      </c>
      <c r="F6" s="1">
        <v>0.2</v>
      </c>
      <c r="G6" s="10">
        <f t="shared" si="0"/>
        <v>2.6285714285714289E-3</v>
      </c>
      <c r="H6" s="3">
        <v>0.01</v>
      </c>
      <c r="I6" s="11">
        <f t="shared" si="1"/>
        <v>1.3142857142857143E-4</v>
      </c>
      <c r="J6" s="5">
        <v>0.1</v>
      </c>
      <c r="K6" s="12">
        <f t="shared" si="2"/>
        <v>1.3142857142857144E-3</v>
      </c>
      <c r="L6" s="9">
        <v>0.2</v>
      </c>
      <c r="M6" s="13">
        <f t="shared" si="3"/>
        <v>2.6285714285714289E-3</v>
      </c>
    </row>
    <row r="7" spans="1:13" x14ac:dyDescent="0.45">
      <c r="C7" t="s">
        <v>3</v>
      </c>
      <c r="D7">
        <v>156</v>
      </c>
      <c r="E7">
        <f>D7/A3</f>
        <v>8.9142857142857149E-2</v>
      </c>
      <c r="F7" s="1">
        <v>0.2</v>
      </c>
      <c r="G7" s="10">
        <f t="shared" si="0"/>
        <v>1.782857142857143E-2</v>
      </c>
      <c r="H7" s="3">
        <v>0.5</v>
      </c>
      <c r="I7" s="11">
        <f t="shared" si="1"/>
        <v>4.4571428571428574E-2</v>
      </c>
      <c r="J7" s="5">
        <v>0.05</v>
      </c>
      <c r="K7" s="12">
        <f t="shared" si="2"/>
        <v>4.4571428571428574E-3</v>
      </c>
      <c r="L7" s="9">
        <v>0.3</v>
      </c>
      <c r="M7" s="13">
        <f t="shared" si="3"/>
        <v>2.6742857142857145E-2</v>
      </c>
    </row>
    <row r="8" spans="1:13" x14ac:dyDescent="0.45">
      <c r="C8" t="s">
        <v>4</v>
      </c>
      <c r="D8">
        <v>1033</v>
      </c>
      <c r="E8">
        <f>D8/A3</f>
        <v>0.5902857142857143</v>
      </c>
      <c r="F8" s="1">
        <v>0.2</v>
      </c>
      <c r="G8" s="10">
        <f t="shared" si="0"/>
        <v>0.11805714285714286</v>
      </c>
      <c r="H8" s="3">
        <v>0.13</v>
      </c>
      <c r="I8" s="11">
        <f t="shared" si="1"/>
        <v>7.6737142857142865E-2</v>
      </c>
      <c r="J8" s="5">
        <v>0.5</v>
      </c>
      <c r="K8" s="12">
        <f t="shared" si="2"/>
        <v>0.29514285714285715</v>
      </c>
      <c r="L8" s="9">
        <v>1.9E-2</v>
      </c>
      <c r="M8" s="13">
        <f t="shared" si="3"/>
        <v>1.1215428571428571E-2</v>
      </c>
    </row>
    <row r="9" spans="1:13" x14ac:dyDescent="0.45">
      <c r="F9" s="2"/>
      <c r="G9" s="2"/>
      <c r="H9" s="4"/>
      <c r="I9" s="4"/>
      <c r="J9" s="6"/>
      <c r="K9" s="6"/>
      <c r="L9" s="7"/>
      <c r="M9" s="7"/>
    </row>
    <row r="10" spans="1:13" x14ac:dyDescent="0.45">
      <c r="E10" t="s">
        <v>8</v>
      </c>
      <c r="F10" s="1">
        <f t="shared" ref="F10:M10" si="4">SUM(F4:F8)</f>
        <v>1</v>
      </c>
      <c r="G10" s="10">
        <f t="shared" si="4"/>
        <v>2.0338285714285718</v>
      </c>
      <c r="H10" s="3">
        <f t="shared" si="4"/>
        <v>1</v>
      </c>
      <c r="I10" s="14">
        <f t="shared" si="4"/>
        <v>1.4062628571428573</v>
      </c>
      <c r="J10" s="5">
        <f t="shared" si="4"/>
        <v>1</v>
      </c>
      <c r="K10" s="15">
        <f t="shared" si="4"/>
        <v>2.4103428571428571</v>
      </c>
      <c r="L10" s="8">
        <f t="shared" si="4"/>
        <v>1</v>
      </c>
      <c r="M10" s="16">
        <f t="shared" si="4"/>
        <v>1.8776942857142858</v>
      </c>
    </row>
  </sheetData>
  <mergeCells count="4">
    <mergeCell ref="F3:G3"/>
    <mergeCell ref="H3:I3"/>
    <mergeCell ref="J3:K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TALLONE STEFANO</dc:creator>
  <cp:lastModifiedBy>TALLONE STEFANO</cp:lastModifiedBy>
  <dcterms:created xsi:type="dcterms:W3CDTF">2025-10-08T13:35:40Z</dcterms:created>
  <dcterms:modified xsi:type="dcterms:W3CDTF">2025-10-13T14:40:19Z</dcterms:modified>
</cp:coreProperties>
</file>